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Stage 1 steps" sheetId="2" state="visible" r:id="rId2"/>
    <sheet xmlns:r="http://schemas.openxmlformats.org/officeDocument/2006/relationships" name="Playbook map" sheetId="3" state="visible" r:id="rId3"/>
    <sheet xmlns:r="http://schemas.openxmlformats.org/officeDocument/2006/relationships" name="Tree" sheetId="4" state="visible" r:id="rId4"/>
    <sheet xmlns:r="http://schemas.openxmlformats.org/officeDocument/2006/relationships" name="Schema register" sheetId="5" state="visible" r:id="rId5"/>
    <sheet xmlns:r="http://schemas.openxmlformats.org/officeDocument/2006/relationships" name="Allowed values" sheetId="6" state="visible" r:id="rId6"/>
    <sheet xmlns:r="http://schemas.openxmlformats.org/officeDocument/2006/relationships" name="Feature discovery" sheetId="7" state="visible" r:id="rId7"/>
    <sheet xmlns:r="http://schemas.openxmlformats.org/officeDocument/2006/relationships" name="Coverage matrix" sheetId="8" state="visible" r:id="rId8"/>
    <sheet xmlns:r="http://schemas.openxmlformats.org/officeDocument/2006/relationships" name="Competitors" sheetId="9" state="visible" r:id="rId9"/>
    <sheet xmlns:r="http://schemas.openxmlformats.org/officeDocument/2006/relationships" name="NFR register" sheetId="10" state="visible" r:id="rId10"/>
    <sheet xmlns:r="http://schemas.openxmlformats.org/officeDocument/2006/relationships" name="Requirements" sheetId="11" state="visible" r:id="rId11"/>
    <sheet xmlns:r="http://schemas.openxmlformats.org/officeDocument/2006/relationships" name="Scope lines" sheetId="12" state="visible" r:id="rId12"/>
    <sheet xmlns:r="http://schemas.openxmlformats.org/officeDocument/2006/relationships" name="Scorecard" sheetId="13" state="visible" r:id="rId13"/>
    <sheet xmlns:r="http://schemas.openxmlformats.org/officeDocument/2006/relationships" name="Measures" sheetId="14" state="visible" r:id="rId14"/>
    <sheet xmlns:r="http://schemas.openxmlformats.org/officeDocument/2006/relationships" name="Discover log" sheetId="15" state="visible" r:id="rId15"/>
  </sheets>
  <definedNames>
    <definedName name="_xlnm._FilterDatabase" localSheetId="3" hidden="1">'Tree'!$A$1:$O$170</definedName>
    <definedName name="_xlnm._FilterDatabase" localSheetId="4" hidden="1">'Schema register'!$A$1:$J$118</definedName>
    <definedName name="_xlnm._FilterDatabase" localSheetId="5" hidden="1">'Allowed values'!$A$1:$E$195</definedName>
    <definedName name="_xlnm._FilterDatabase" localSheetId="6" hidden="1">'Feature discovery'!$A$3:$V$179</definedName>
    <definedName name="_xlnm._FilterDatabase" localSheetId="7" hidden="1">'Coverage matrix'!$A$3:$O$126</definedName>
    <definedName name="_xlnm._FilterDatabase" localSheetId="8" hidden="1">'Competitors'!$A$3:$M$7</definedName>
    <definedName name="_xlnm._FilterDatabase" localSheetId="9" hidden="1">'NFR register'!$A$3:$S$29</definedName>
    <definedName name="_xlnm._FilterDatabase" localSheetId="10" hidden="1">'Requirements'!$A$3:$N$111</definedName>
    <definedName name="_xlnm._FilterDatabase" localSheetId="11" hidden="1">'Scope lines'!$A$3:$F$22</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b val="1"/>
      <color rgb="00FFFFFF"/>
    </font>
    <font>
      <b val="1"/>
    </font>
    <font>
      <i val="1"/>
      <color rgb="007F7F7F"/>
    </font>
    <font>
      <name val="Cambria"/>
      <b val="1"/>
      <color rgb="00FFFFFF"/>
      <sz val="16"/>
    </font>
    <font>
      <i val="1"/>
      <color rgb="007F7F7F"/>
      <sz val="9"/>
    </font>
    <font>
      <b val="1"/>
      <color rgb="00FFFFFF"/>
      <sz val="9"/>
    </font>
    <font>
      <name val="Cambria"/>
      <b val="1"/>
      <color rgb="00FFFFFF"/>
      <sz val="28"/>
    </font>
    <font>
      <color rgb="00FFFFFF"/>
      <sz val="8"/>
    </font>
    <font>
      <b val="1"/>
      <i val="1"/>
      <sz val="9"/>
    </font>
    <font>
      <name val="Cambria"/>
      <b val="1"/>
      <color rgb="001F3864"/>
      <sz val="12"/>
    </font>
    <font>
      <i val="1"/>
      <color rgb="00595959"/>
      <sz val="9"/>
    </font>
    <font>
      <b val="1"/>
      <i val="1"/>
    </font>
    <font>
      <b val="1"/>
      <sz val="12"/>
    </font>
    <font>
      <b val="1"/>
      <color rgb="001F3864"/>
      <sz val="12"/>
    </font>
  </fonts>
  <fills count="13">
    <fill>
      <patternFill/>
    </fill>
    <fill>
      <patternFill patternType="gray125"/>
    </fill>
    <fill>
      <patternFill patternType="solid">
        <fgColor rgb="001F3864"/>
      </patternFill>
    </fill>
    <fill>
      <patternFill patternType="solid">
        <fgColor rgb="00DDEBF7"/>
      </patternFill>
    </fill>
    <fill>
      <patternFill patternType="solid">
        <fgColor rgb="00F2F2F2"/>
      </patternFill>
    </fill>
    <fill>
      <patternFill patternType="solid">
        <fgColor rgb="00FFFFFF"/>
      </patternFill>
    </fill>
    <fill>
      <patternFill patternType="solid">
        <fgColor rgb="002E5C9A"/>
      </patternFill>
    </fill>
    <fill>
      <patternFill patternType="solid">
        <fgColor rgb="005B9BD5"/>
      </patternFill>
    </fill>
    <fill>
      <patternFill patternType="solid">
        <fgColor rgb="004F81BD"/>
      </patternFill>
    </fill>
    <fill>
      <patternFill patternType="solid">
        <fgColor rgb="0070AD47"/>
      </patternFill>
    </fill>
    <fill>
      <patternFill patternType="solid">
        <fgColor rgb="00BF9000"/>
      </patternFill>
    </fill>
    <fill>
      <patternFill patternType="solid">
        <fgColor rgb="00E2EFDA"/>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5">
    <xf numFmtId="0" fontId="0" fillId="0" borderId="0" pivotButton="0" quotePrefix="0" xfId="0"/>
    <xf numFmtId="0" fontId="4" fillId="2" borderId="0" pivotButton="0" quotePrefix="0" xfId="0"/>
    <xf numFmtId="0" fontId="0" fillId="2" borderId="0" pivotButton="0" quotePrefix="0" xfId="0"/>
    <xf numFmtId="0" fontId="5" fillId="0" borderId="0" pivotButton="0" quotePrefix="0" xfId="0"/>
    <xf numFmtId="0" fontId="6" fillId="2" borderId="0" applyAlignment="1" pivotButton="0" quotePrefix="0" xfId="0">
      <alignment horizontal="center" vertical="center" wrapText="1"/>
    </xf>
    <xf numFmtId="0" fontId="6" fillId="6" borderId="0" applyAlignment="1" pivotButton="0" quotePrefix="0" xfId="0">
      <alignment horizontal="center" vertical="center" wrapText="1"/>
    </xf>
    <xf numFmtId="0" fontId="6" fillId="7" borderId="0" applyAlignment="1" pivotButton="0" quotePrefix="0" xfId="0">
      <alignment horizontal="center" vertical="center" wrapText="1"/>
    </xf>
    <xf numFmtId="0" fontId="6" fillId="8" borderId="0" applyAlignment="1" pivotButton="0" quotePrefix="0" xfId="0">
      <alignment horizontal="center" vertical="center" wrapText="1"/>
    </xf>
    <xf numFmtId="0" fontId="6" fillId="9" borderId="0" applyAlignment="1" pivotButton="0" quotePrefix="0" xfId="0">
      <alignment horizontal="center" vertical="center" wrapText="1"/>
    </xf>
    <xf numFmtId="0" fontId="6" fillId="10" borderId="0" applyAlignment="1" pivotButton="0" quotePrefix="0" xfId="0">
      <alignment horizontal="center" vertical="center" wrapText="1"/>
    </xf>
    <xf numFmtId="0" fontId="7" fillId="2" borderId="0" applyAlignment="1" pivotButton="0" quotePrefix="0" xfId="0">
      <alignment horizontal="center" vertical="center" wrapText="1"/>
    </xf>
    <xf numFmtId="0" fontId="7" fillId="6" borderId="0" applyAlignment="1" pivotButton="0" quotePrefix="0" xfId="0">
      <alignment horizontal="center" vertical="center" wrapText="1"/>
    </xf>
    <xf numFmtId="0" fontId="7" fillId="7" borderId="0" applyAlignment="1" pivotButton="0" quotePrefix="0" xfId="0">
      <alignment horizontal="center" vertical="center" wrapText="1"/>
    </xf>
    <xf numFmtId="0" fontId="7" fillId="8" borderId="0" applyAlignment="1" pivotButton="0" quotePrefix="0" xfId="0">
      <alignment horizontal="center" vertical="center" wrapText="1"/>
    </xf>
    <xf numFmtId="0" fontId="7" fillId="9" borderId="0" applyAlignment="1" pivotButton="0" quotePrefix="0" xfId="0">
      <alignment horizontal="center" vertical="center" wrapText="1"/>
    </xf>
    <xf numFmtId="0" fontId="7" fillId="10" borderId="0" applyAlignment="1" pivotButton="0" quotePrefix="0" xfId="0">
      <alignment horizontal="center" vertical="center" wrapText="1"/>
    </xf>
    <xf numFmtId="0" fontId="8" fillId="2" borderId="0" applyAlignment="1" pivotButton="0" quotePrefix="0" xfId="0">
      <alignment horizontal="center" vertical="center" wrapText="1"/>
    </xf>
    <xf numFmtId="0" fontId="8" fillId="6" borderId="0" applyAlignment="1" pivotButton="0" quotePrefix="0" xfId="0">
      <alignment horizontal="center" vertical="center" wrapText="1"/>
    </xf>
    <xf numFmtId="0" fontId="8" fillId="7" borderId="0" applyAlignment="1" pivotButton="0" quotePrefix="0" xfId="0">
      <alignment horizontal="center" vertical="center" wrapText="1"/>
    </xf>
    <xf numFmtId="0" fontId="8" fillId="8" borderId="0" applyAlignment="1" pivotButton="0" quotePrefix="0" xfId="0">
      <alignment horizontal="center" vertical="center" wrapText="1"/>
    </xf>
    <xf numFmtId="0" fontId="8" fillId="9" borderId="0" applyAlignment="1" pivotButton="0" quotePrefix="0" xfId="0">
      <alignment horizontal="center" vertical="center" wrapText="1"/>
    </xf>
    <xf numFmtId="0" fontId="8" fillId="10" borderId="0" applyAlignment="1" pivotButton="0" quotePrefix="0" xfId="0">
      <alignment horizontal="center" vertical="center" wrapText="1"/>
    </xf>
    <xf numFmtId="0" fontId="9" fillId="0" borderId="0" applyAlignment="1" pivotButton="0" quotePrefix="0" xfId="0">
      <alignment vertical="top" wrapText="1"/>
    </xf>
    <xf numFmtId="0" fontId="1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vertical="center" wrapText="1"/>
    </xf>
    <xf numFmtId="9" fontId="0" fillId="0"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3" borderId="1" applyAlignment="1" pivotButton="0" quotePrefix="0" xfId="0">
      <alignment vertical="center" wrapText="1"/>
    </xf>
    <xf numFmtId="9" fontId="2" fillId="3" borderId="1" applyAlignment="1" pivotButton="0" quotePrefix="0" xfId="0">
      <alignment horizontal="center" vertical="center" wrapText="1"/>
    </xf>
    <xf numFmtId="0" fontId="11" fillId="0" borderId="0" pivotButton="0" quotePrefix="0" xfId="0"/>
    <xf numFmtId="0" fontId="0" fillId="3" borderId="1" applyAlignment="1" pivotButton="0" quotePrefix="0" xfId="0">
      <alignment horizontal="center" vertical="center" wrapText="1"/>
    </xf>
    <xf numFmtId="0" fontId="0" fillId="3" borderId="1" applyAlignment="1" pivotButton="0" quotePrefix="0" xfId="0">
      <alignment vertical="center" wrapText="1"/>
    </xf>
    <xf numFmtId="0" fontId="0" fillId="11" borderId="1" applyAlignment="1" pivotButton="0" quotePrefix="0" xfId="0">
      <alignment horizontal="center" vertical="center" wrapText="1"/>
    </xf>
    <xf numFmtId="0" fontId="0" fillId="11" borderId="1" applyAlignment="1" pivotButton="0" quotePrefix="0" xfId="0">
      <alignment vertical="center" wrapText="1"/>
    </xf>
    <xf numFmtId="0" fontId="0" fillId="12" borderId="1" applyAlignment="1" pivotButton="0" quotePrefix="0" xfId="0">
      <alignment horizontal="center" vertical="center" wrapText="1"/>
    </xf>
    <xf numFmtId="0" fontId="0" fillId="12" borderId="1" applyAlignment="1" pivotButton="0" quotePrefix="0" xfId="0">
      <alignment vertical="center" wrapText="1"/>
    </xf>
    <xf numFmtId="0" fontId="1" fillId="2" borderId="0" applyAlignment="1" pivotButton="0" quotePrefix="0" xfId="0">
      <alignment horizontal="center" vertical="center" wrapText="1"/>
    </xf>
    <xf numFmtId="0" fontId="0" fillId="11" borderId="1" applyAlignment="1" pivotButton="0" quotePrefix="0" xfId="0">
      <alignment vertical="top" wrapText="1"/>
    </xf>
    <xf numFmtId="0" fontId="0" fillId="0" borderId="1" applyAlignment="1" pivotButton="0" quotePrefix="0" xfId="0">
      <alignment vertical="top" wrapText="1"/>
    </xf>
    <xf numFmtId="0" fontId="12" fillId="0" borderId="0" pivotButton="0" quotePrefix="0" xfId="0"/>
    <xf numFmtId="0" fontId="3" fillId="0" borderId="0" pivotButton="0" quotePrefix="0" xfId="0"/>
    <xf numFmtId="0" fontId="2" fillId="3" borderId="1" applyAlignment="1" pivotButton="0" quotePrefix="0" xfId="0">
      <alignment vertical="top" wrapText="1"/>
    </xf>
    <xf numFmtId="0" fontId="0" fillId="4" borderId="1" applyAlignment="1" pivotButton="0" quotePrefix="0" xfId="0">
      <alignment vertical="top" wrapText="1"/>
    </xf>
    <xf numFmtId="0" fontId="0" fillId="4" borderId="1" applyAlignment="1" pivotButton="0" quotePrefix="0" xfId="0">
      <alignment vertical="top" wrapText="1" indent="2"/>
    </xf>
    <xf numFmtId="0" fontId="0" fillId="5" borderId="1" applyAlignment="1" pivotButton="0" quotePrefix="0" xfId="0">
      <alignment vertical="top" wrapText="1"/>
    </xf>
    <xf numFmtId="0" fontId="0" fillId="5" borderId="1" applyAlignment="1" pivotButton="0" quotePrefix="0" xfId="0">
      <alignment vertical="top" wrapText="1" indent="4"/>
    </xf>
    <xf numFmtId="0" fontId="2" fillId="0" borderId="0" pivotButton="0" quotePrefix="0" xfId="0"/>
    <xf numFmtId="0" fontId="13" fillId="0" borderId="0" pivotButton="0" quotePrefix="0" xfId="0"/>
    <xf numFmtId="0" fontId="14" fillId="0" borderId="0" pivotButton="0" quotePrefix="0" xfId="0"/>
    <xf numFmtId="0" fontId="1" fillId="6" borderId="1" applyAlignment="1" pivotButton="0" quotePrefix="0" xfId="0">
      <alignment horizontal="center" vertical="center" wrapText="1"/>
    </xf>
    <xf numFmtId="0" fontId="2" fillId="0" borderId="1" pivotButton="0" quotePrefix="0" xfId="0"/>
    <xf numFmtId="0" fontId="0" fillId="0" borderId="1" pivotButton="0" quotePrefix="0" xfId="0"/>
    <xf numFmtId="9" fontId="0" fillId="0" borderId="1" pivotButton="0" quotePrefix="0" xfId="0"/>
  </cellXfs>
  <cellStyles count="1">
    <cellStyle name="Normal" xfId="0" builtinId="0" hidden="0"/>
  </cellStyles>
  <dxfs count="5">
    <dxf>
      <font>
        <b val="1"/>
        <color rgb="00006100"/>
      </font>
      <fill>
        <patternFill patternType="solid">
          <fgColor rgb="00C6EFCE"/>
        </patternFill>
      </fill>
    </dxf>
    <dxf>
      <font>
        <b val="1"/>
        <color rgb="009C0006"/>
      </font>
      <fill>
        <patternFill patternType="solid">
          <fgColor rgb="00FFC7CE"/>
        </patternFill>
      </fill>
    </dxf>
    <dxf>
      <fill>
        <patternFill patternType="solid">
          <fgColor rgb="00FFF2CC"/>
        </patternFill>
      </fill>
    </dxf>
    <dxf>
      <fill>
        <patternFill patternType="solid">
          <fgColor rgb="00FFC7CE"/>
        </patternFill>
      </fill>
    </dxf>
    <dxf>
      <font>
        <i val="1"/>
        <color rgb="007F7F7F"/>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Parameters by deliverable and level</a:t>
            </a:r>
          </a:p>
        </rich>
      </tx>
    </title>
    <plotArea>
      <barChart>
        <barDir val="col"/>
        <grouping val="stacked"/>
        <ser>
          <idx val="0"/>
          <order val="0"/>
          <tx>
            <strRef>
              <f>'Summary'!E10</f>
            </strRef>
          </tx>
          <spPr>
            <a:ln xmlns:a="http://schemas.openxmlformats.org/drawingml/2006/main">
              <a:prstDash val="solid"/>
            </a:ln>
          </spPr>
          <cat>
            <numRef>
              <f>'Summary'!$D$11:$D$13</f>
            </numRef>
          </cat>
          <val>
            <numRef>
              <f>'Summary'!$E$11:$E$13</f>
            </numRef>
          </val>
        </ser>
        <ser>
          <idx val="1"/>
          <order val="1"/>
          <tx>
            <strRef>
              <f>'Summary'!F10</f>
            </strRef>
          </tx>
          <spPr>
            <a:ln xmlns:a="http://schemas.openxmlformats.org/drawingml/2006/main">
              <a:prstDash val="solid"/>
            </a:ln>
          </spPr>
          <cat>
            <numRef>
              <f>'Summary'!$D$11:$D$13</f>
            </numRef>
          </cat>
          <val>
            <numRef>
              <f>'Summary'!$F$11:$F$13</f>
            </numRef>
          </val>
        </ser>
        <ser>
          <idx val="2"/>
          <order val="2"/>
          <tx>
            <strRef>
              <f>'Summary'!G10</f>
            </strRef>
          </tx>
          <spPr>
            <a:ln xmlns:a="http://schemas.openxmlformats.org/drawingml/2006/main">
              <a:prstDash val="solid"/>
            </a:ln>
          </spPr>
          <cat>
            <numRef>
              <f>'Summary'!$D$11:$D$13</f>
            </numRef>
          </cat>
          <val>
            <numRef>
              <f>'Summary'!$G$11:$G$13</f>
            </numRef>
          </val>
        </ser>
        <gapWidth val="150"/>
        <overlap val="10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Parameters per section</a:t>
            </a:r>
          </a:p>
        </rich>
      </tx>
    </title>
    <plotArea>
      <barChart>
        <barDir val="bar"/>
        <grouping val="clustered"/>
        <ser>
          <idx val="0"/>
          <order val="0"/>
          <tx>
            <strRef>
              <f>'Summary'!H17</f>
            </strRef>
          </tx>
          <spPr>
            <a:ln xmlns:a="http://schemas.openxmlformats.org/drawingml/2006/main">
              <a:prstDash val="solid"/>
            </a:ln>
          </spPr>
          <cat>
            <numRef>
              <f>'Summary'!$D$18:$D$35</f>
            </numRef>
          </cat>
          <val>
            <numRef>
              <f>'Summary'!$H$18:$H$35</f>
            </numRef>
          </val>
        </ser>
        <dLbls>
          <showVal val="1"/>
        </dLbls>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12</col>
      <colOff>0</colOff>
      <row>3</row>
      <rowOff>0</rowOff>
    </from>
    <ext cx="468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12</col>
      <colOff>0</colOff>
      <row>19</row>
      <rowOff>0</rowOff>
    </from>
    <ext cx="4680000" cy="396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1F3864"/>
    <outlinePr summaryBelow="1" summaryRight="1"/>
    <pageSetUpPr/>
  </sheetPr>
  <dimension ref="B1:K49"/>
  <sheetViews>
    <sheetView showGridLines="0" workbookViewId="0">
      <selection activeCell="A1" sqref="A1"/>
    </sheetView>
  </sheetViews>
  <sheetFormatPr baseColWidth="8" defaultRowHeight="15"/>
  <cols>
    <col width="2" customWidth="1" min="1" max="1"/>
    <col width="13" customWidth="1" min="2" max="2"/>
    <col width="24" customWidth="1" min="3" max="3"/>
    <col width="22" customWidth="1" min="4" max="4"/>
    <col width="13" customWidth="1" min="5" max="5"/>
    <col width="13" customWidth="1" min="6" max="6"/>
    <col width="13" customWidth="1" min="7" max="7"/>
    <col width="13" customWidth="1" min="8" max="8"/>
    <col width="13" customWidth="1" min="9" max="9"/>
    <col width="13" customWidth="1" min="10" max="10"/>
    <col width="12" customWidth="1" min="11" max="11"/>
  </cols>
  <sheetData>
    <row r="1" ht="28" customHeight="1">
      <c r="B1" s="1" t="inlineStr">
        <is>
          <t>Stage 1 Discover  ·  Output schema dashboard</t>
        </is>
      </c>
      <c r="C1" s="2" t="n"/>
      <c r="D1" s="2" t="n"/>
      <c r="E1" s="2" t="n"/>
      <c r="F1" s="2" t="n"/>
      <c r="G1" s="2" t="n"/>
      <c r="H1" s="2" t="n"/>
      <c r="I1" s="2" t="n"/>
      <c r="J1" s="2" t="n"/>
    </row>
    <row r="2">
      <c r="B2" s="3" t="inlineStr">
        <is>
          <t>DDD Phase 1 · Steps 01, 03 and 04 · Talentra hackathon · Schema v1.4 · every number below is counted live from the Tree, Schema register and Allowed values sheets</t>
        </is>
      </c>
    </row>
    <row r="4">
      <c r="B4" s="4" t="inlineStr">
        <is>
          <t>TOTAL PARAMETERS</t>
        </is>
      </c>
      <c r="D4" s="5" t="inlineStr">
        <is>
          <t>L1 · MACRO</t>
        </is>
      </c>
      <c r="E4" s="6" t="inlineStr">
        <is>
          <t>L2 · MICRO</t>
        </is>
      </c>
      <c r="F4" s="7" t="inlineStr">
        <is>
          <t>L3 · NANO</t>
        </is>
      </c>
      <c r="G4" s="8" t="inlineStr">
        <is>
          <t>L4 · PICO</t>
        </is>
      </c>
      <c r="H4" s="9" t="inlineStr">
        <is>
          <t>ALLOWED VALUES</t>
        </is>
      </c>
    </row>
    <row r="5" ht="44" customHeight="1">
      <c r="B5" s="10">
        <f>COUNTIF(Tree!$E$2:$E$170,1)+COUNTIF(Tree!$E$2:$E$170,2)+COUNTIF(Tree!$E$2:$E$170,3)</f>
        <v/>
      </c>
      <c r="D5" s="11">
        <f>COUNTIF(Tree!$E$2:$E$170,1)</f>
        <v/>
      </c>
      <c r="E5" s="12">
        <f>COUNTIF(Tree!$E$2:$E$170,2)</f>
        <v/>
      </c>
      <c r="F5" s="13">
        <f>COUNTIF(Tree!$E$2:$E$170,3)</f>
        <v/>
      </c>
      <c r="G5" s="14">
        <f>COUNTIFS(Tree!$E$2:$E$170,3,Tree!$J$2:$J$170,"atomic")</f>
        <v/>
      </c>
      <c r="H5" s="15">
        <f>COUNTA('Allowed values'!$B$2:$B$195)</f>
        <v/>
      </c>
    </row>
    <row r="6">
      <c r="B6" s="16" t="inlineStr">
        <is>
          <t>L1 + L2 + L3 nodes in the tree</t>
        </is>
      </c>
      <c r="D6" s="17" t="inlineStr">
        <is>
          <t>Sections</t>
        </is>
      </c>
      <c r="E6" s="18" t="inlineStr">
        <is>
          <t>Parameters</t>
        </is>
      </c>
      <c r="F6" s="19" t="inlineStr">
        <is>
          <t>Sub-parameters</t>
        </is>
      </c>
      <c r="G6" s="20" t="inlineStr">
        <is>
          <t>Atomic definitions</t>
        </is>
      </c>
      <c r="H6" s="21" t="inlineStr">
        <is>
          <t>Codes in the lists</t>
        </is>
      </c>
    </row>
    <row r="7" ht="30" customHeight="1">
      <c r="B7" s="22">
        <f>"Total parameters "&amp;B5&amp;" = "&amp;D5&amp;" Macro (L1) + "&amp;E5&amp;" Micro (L2) + "&amp;F5&amp;" Nano (L3). Each atomic item carries its L4 Pico definition ("&amp;G5&amp;"); "&amp;H5&amp;" allowed values sit inside the lists. Without the section headings the count is "&amp;(E5+F5)&amp;" parameters."</f>
        <v/>
      </c>
    </row>
    <row r="9">
      <c r="B9" s="23" t="inlineStr">
        <is>
          <t>Parameters by step and deliverable</t>
        </is>
      </c>
    </row>
    <row r="10" ht="30" customHeight="1">
      <c r="B10" s="24" t="inlineStr">
        <is>
          <t>Deliverable</t>
        </is>
      </c>
      <c r="C10" s="24" t="inlineStr">
        <is>
          <t>Grain / Section ID</t>
        </is>
      </c>
      <c r="D10" s="24" t="inlineStr">
        <is>
          <t>Name</t>
        </is>
      </c>
      <c r="E10" s="24" t="inlineStr">
        <is>
          <t>L1 Macro</t>
        </is>
      </c>
      <c r="F10" s="24" t="inlineStr">
        <is>
          <t>L2 Micro</t>
        </is>
      </c>
      <c r="G10" s="24" t="inlineStr">
        <is>
          <t>L3 Nano</t>
        </is>
      </c>
      <c r="H10" s="24" t="inlineStr">
        <is>
          <t>Total parameters</t>
        </is>
      </c>
      <c r="I10" s="24" t="inlineStr">
        <is>
          <t>Allowed values</t>
        </is>
      </c>
      <c r="J10" s="24" t="inlineStr">
        <is>
          <t>L4 atomic</t>
        </is>
      </c>
      <c r="K10" s="24" t="inlineStr">
        <is>
          <t>Share of total</t>
        </is>
      </c>
    </row>
    <row r="11" ht="30" customHeight="1">
      <c r="B11" s="25" t="inlineStr">
        <is>
          <t>Step 01</t>
        </is>
      </c>
      <c r="C11" s="26" t="inlineStr">
        <is>
          <t>one row per requirement</t>
        </is>
      </c>
      <c r="D11" s="26" t="inlineStr">
        <is>
          <t>Requirements docket</t>
        </is>
      </c>
      <c r="E11" s="25">
        <f>COUNTIFS(Tree!$A$2:$A$170,$B11,Tree!$E$2:$E$170,1)</f>
        <v/>
      </c>
      <c r="F11" s="25">
        <f>COUNTIFS(Tree!$A$2:$A$170,$B11,Tree!$E$2:$E$170,2)</f>
        <v/>
      </c>
      <c r="G11" s="25">
        <f>COUNTIFS(Tree!$A$2:$A$170,$B11,Tree!$E$2:$E$170,3)</f>
        <v/>
      </c>
      <c r="H11" s="25">
        <f>E11+F11+G11</f>
        <v/>
      </c>
      <c r="I11" s="25">
        <f>SUMIF($B$18:$B$35,$B11,$I$18:$I$35)</f>
        <v/>
      </c>
      <c r="J11" s="25">
        <f>COUNTIFS(Tree!$A$2:$A$170,$B11,Tree!$E$2:$E$170,3,Tree!$J$2:$J$170,"atomic")</f>
        <v/>
      </c>
      <c r="K11" s="27">
        <f>H11/$H$14</f>
        <v/>
      </c>
    </row>
    <row r="12" ht="30" customHeight="1">
      <c r="B12" s="25" t="inlineStr">
        <is>
          <t>Step 03</t>
        </is>
      </c>
      <c r="C12" s="26" t="inlineStr">
        <is>
          <t>one row per feature; one per feature and competitor</t>
        </is>
      </c>
      <c r="D12" s="26" t="inlineStr">
        <is>
          <t>Feature discovery</t>
        </is>
      </c>
      <c r="E12" s="25">
        <f>COUNTIFS(Tree!$A$2:$A$170,$B12,Tree!$E$2:$E$170,1)</f>
        <v/>
      </c>
      <c r="F12" s="25">
        <f>COUNTIFS(Tree!$A$2:$A$170,$B12,Tree!$E$2:$E$170,2)</f>
        <v/>
      </c>
      <c r="G12" s="25">
        <f>COUNTIFS(Tree!$A$2:$A$170,$B12,Tree!$E$2:$E$170,3)</f>
        <v/>
      </c>
      <c r="H12" s="25">
        <f>E12+F12+G12</f>
        <v/>
      </c>
      <c r="I12" s="25">
        <f>SUMIF($B$18:$B$35,$B12,$I$18:$I$35)</f>
        <v/>
      </c>
      <c r="J12" s="25">
        <f>COUNTIFS(Tree!$A$2:$A$170,$B12,Tree!$E$2:$E$170,3,Tree!$J$2:$J$170,"atomic")</f>
        <v/>
      </c>
      <c r="K12" s="27">
        <f>H12/$H$14</f>
        <v/>
      </c>
    </row>
    <row r="13" ht="30" customHeight="1">
      <c r="B13" s="25" t="inlineStr">
        <is>
          <t>Step 04</t>
        </is>
      </c>
      <c r="C13" s="26" t="inlineStr">
        <is>
          <t>one row per NFR</t>
        </is>
      </c>
      <c r="D13" s="26" t="inlineStr">
        <is>
          <t>NFR register</t>
        </is>
      </c>
      <c r="E13" s="25">
        <f>COUNTIFS(Tree!$A$2:$A$170,$B13,Tree!$E$2:$E$170,1)</f>
        <v/>
      </c>
      <c r="F13" s="25">
        <f>COUNTIFS(Tree!$A$2:$A$170,$B13,Tree!$E$2:$E$170,2)</f>
        <v/>
      </c>
      <c r="G13" s="25">
        <f>COUNTIFS(Tree!$A$2:$A$170,$B13,Tree!$E$2:$E$170,3)</f>
        <v/>
      </c>
      <c r="H13" s="25">
        <f>E13+F13+G13</f>
        <v/>
      </c>
      <c r="I13" s="25">
        <f>SUMIF($B$18:$B$35,$B13,$I$18:$I$35)</f>
        <v/>
      </c>
      <c r="J13" s="25">
        <f>COUNTIFS(Tree!$A$2:$A$170,$B13,Tree!$E$2:$E$170,3,Tree!$J$2:$J$170,"atomic")</f>
        <v/>
      </c>
      <c r="K13" s="27">
        <f>H13/$H$14</f>
        <v/>
      </c>
    </row>
    <row r="14" ht="30" customHeight="1">
      <c r="B14" s="28" t="inlineStr">
        <is>
          <t>Total</t>
        </is>
      </c>
      <c r="C14" s="29" t="n"/>
      <c r="D14" s="29" t="inlineStr">
        <is>
          <t>All deliverables</t>
        </is>
      </c>
      <c r="E14" s="28">
        <f>SUM(E11:E13)</f>
        <v/>
      </c>
      <c r="F14" s="28">
        <f>SUM(F11:F13)</f>
        <v/>
      </c>
      <c r="G14" s="28">
        <f>SUM(G11:G13)</f>
        <v/>
      </c>
      <c r="H14" s="28">
        <f>SUM(H11:H13)</f>
        <v/>
      </c>
      <c r="I14" s="28">
        <f>SUM(I11:I13)+I37</f>
        <v/>
      </c>
      <c r="J14" s="28">
        <f>SUM(J11:J13)</f>
        <v/>
      </c>
      <c r="K14" s="30">
        <f>SUM(K11:K13)</f>
        <v/>
      </c>
    </row>
    <row r="16">
      <c r="B16" s="23" t="inlineStr">
        <is>
          <t>Parameters by section (L1): the tree, counted</t>
        </is>
      </c>
      <c r="F16" s="31" t="inlineStr">
        <is>
          <t>Blue = Step 03 Feature Discovery (SEC-01 to 08)    Green = Step 04 NFR Discovery (SEC-09 to 13)    Amber = Step 01 Requirement Analysis Docket (SEC-14 to 18)</t>
        </is>
      </c>
    </row>
    <row r="17" ht="30" customHeight="1">
      <c r="B17" s="24" t="inlineStr">
        <is>
          <t>Deliverable</t>
        </is>
      </c>
      <c r="C17" s="24" t="inlineStr">
        <is>
          <t>Section ID</t>
        </is>
      </c>
      <c r="D17" s="24" t="inlineStr">
        <is>
          <t>Section (L1 Macro)</t>
        </is>
      </c>
      <c r="E17" s="24" t="inlineStr">
        <is>
          <t>L1</t>
        </is>
      </c>
      <c r="F17" s="24" t="inlineStr">
        <is>
          <t>L2 Micro</t>
        </is>
      </c>
      <c r="G17" s="24" t="inlineStr">
        <is>
          <t>L3 Nano</t>
        </is>
      </c>
      <c r="H17" s="24" t="inlineStr">
        <is>
          <t>Total parameters</t>
        </is>
      </c>
      <c r="I17" s="24" t="inlineStr">
        <is>
          <t>Allowed values</t>
        </is>
      </c>
      <c r="J17" s="24" t="inlineStr">
        <is>
          <t>L4 atomic</t>
        </is>
      </c>
      <c r="K17" s="24" t="inlineStr">
        <is>
          <t>Share of deliverable</t>
        </is>
      </c>
    </row>
    <row r="18" ht="24" customHeight="1">
      <c r="B18" s="32" t="inlineStr">
        <is>
          <t>Step 03</t>
        </is>
      </c>
      <c r="C18" s="33" t="inlineStr">
        <is>
          <t>SEC-01</t>
        </is>
      </c>
      <c r="D18" s="33" t="inlineStr">
        <is>
          <t>Study Frame</t>
        </is>
      </c>
      <c r="E18" s="25">
        <f>COUNTIFS(Tree!$B$2:$B$170,$C18,Tree!$E$2:$E$170,1)</f>
        <v/>
      </c>
      <c r="F18" s="25">
        <f>COUNTIFS(Tree!$B$2:$B$170,$C18,Tree!$E$2:$E$170,2)</f>
        <v/>
      </c>
      <c r="G18" s="25">
        <f>COUNTIFS(Tree!$B$2:$B$170,$C18,Tree!$E$2:$E$170,3)</f>
        <v/>
      </c>
      <c r="H18" s="25">
        <f>E18+F18+G18</f>
        <v/>
      </c>
      <c r="I18" s="25">
        <f>COUNTIF('Allowed values'!$E$2:$E$195,$C18)</f>
        <v/>
      </c>
      <c r="J18" s="25">
        <f>COUNTIFS(Tree!$B$2:$B$170,$C18,Tree!$E$2:$E$170,3,Tree!$J$2:$J$170,"atomic")</f>
        <v/>
      </c>
      <c r="K18" s="27">
        <f>H18/SUMIF($B$18:$B$35,$B18,$H$18:$H$35)</f>
        <v/>
      </c>
    </row>
    <row r="19" ht="24" customHeight="1">
      <c r="B19" s="32" t="inlineStr">
        <is>
          <t>Step 03</t>
        </is>
      </c>
      <c r="C19" s="33" t="inlineStr">
        <is>
          <t>SEC-02</t>
        </is>
      </c>
      <c r="D19" s="33" t="inlineStr">
        <is>
          <t>Competitors Studied</t>
        </is>
      </c>
      <c r="E19" s="25">
        <f>COUNTIFS(Tree!$B$2:$B$170,$C19,Tree!$E$2:$E$170,1)</f>
        <v/>
      </c>
      <c r="F19" s="25">
        <f>COUNTIFS(Tree!$B$2:$B$170,$C19,Tree!$E$2:$E$170,2)</f>
        <v/>
      </c>
      <c r="G19" s="25">
        <f>COUNTIFS(Tree!$B$2:$B$170,$C19,Tree!$E$2:$E$170,3)</f>
        <v/>
      </c>
      <c r="H19" s="25">
        <f>E19+F19+G19</f>
        <v/>
      </c>
      <c r="I19" s="25">
        <f>COUNTIF('Allowed values'!$E$2:$E$195,$C19)</f>
        <v/>
      </c>
      <c r="J19" s="25">
        <f>COUNTIFS(Tree!$B$2:$B$170,$C19,Tree!$E$2:$E$170,3,Tree!$J$2:$J$170,"atomic")</f>
        <v/>
      </c>
      <c r="K19" s="27">
        <f>H19/SUMIF($B$18:$B$35,$B19,$H$18:$H$35)</f>
        <v/>
      </c>
    </row>
    <row r="20" ht="24" customHeight="1">
      <c r="B20" s="32" t="inlineStr">
        <is>
          <t>Step 03</t>
        </is>
      </c>
      <c r="C20" s="33" t="inlineStr">
        <is>
          <t>SEC-03</t>
        </is>
      </c>
      <c r="D20" s="33" t="inlineStr">
        <is>
          <t>Feature Inventory</t>
        </is>
      </c>
      <c r="E20" s="25">
        <f>COUNTIFS(Tree!$B$2:$B$170,$C20,Tree!$E$2:$E$170,1)</f>
        <v/>
      </c>
      <c r="F20" s="25">
        <f>COUNTIFS(Tree!$B$2:$B$170,$C20,Tree!$E$2:$E$170,2)</f>
        <v/>
      </c>
      <c r="G20" s="25">
        <f>COUNTIFS(Tree!$B$2:$B$170,$C20,Tree!$E$2:$E$170,3)</f>
        <v/>
      </c>
      <c r="H20" s="25">
        <f>E20+F20+G20</f>
        <v/>
      </c>
      <c r="I20" s="25">
        <f>COUNTIF('Allowed values'!$E$2:$E$195,$C20)</f>
        <v/>
      </c>
      <c r="J20" s="25">
        <f>COUNTIFS(Tree!$B$2:$B$170,$C20,Tree!$E$2:$E$170,3,Tree!$J$2:$J$170,"atomic")</f>
        <v/>
      </c>
      <c r="K20" s="27">
        <f>H20/SUMIF($B$18:$B$35,$B20,$H$18:$H$35)</f>
        <v/>
      </c>
    </row>
    <row r="21" ht="24" customHeight="1">
      <c r="B21" s="32" t="inlineStr">
        <is>
          <t>Step 03</t>
        </is>
      </c>
      <c r="C21" s="33" t="inlineStr">
        <is>
          <t>SEC-04</t>
        </is>
      </c>
      <c r="D21" s="33" t="inlineStr">
        <is>
          <t>Feature Classification</t>
        </is>
      </c>
      <c r="E21" s="25">
        <f>COUNTIFS(Tree!$B$2:$B$170,$C21,Tree!$E$2:$E$170,1)</f>
        <v/>
      </c>
      <c r="F21" s="25">
        <f>COUNTIFS(Tree!$B$2:$B$170,$C21,Tree!$E$2:$E$170,2)</f>
        <v/>
      </c>
      <c r="G21" s="25">
        <f>COUNTIFS(Tree!$B$2:$B$170,$C21,Tree!$E$2:$E$170,3)</f>
        <v/>
      </c>
      <c r="H21" s="25">
        <f>E21+F21+G21</f>
        <v/>
      </c>
      <c r="I21" s="25">
        <f>COUNTIF('Allowed values'!$E$2:$E$195,$C21)</f>
        <v/>
      </c>
      <c r="J21" s="25">
        <f>COUNTIFS(Tree!$B$2:$B$170,$C21,Tree!$E$2:$E$170,3,Tree!$J$2:$J$170,"atomic")</f>
        <v/>
      </c>
      <c r="K21" s="27">
        <f>H21/SUMIF($B$18:$B$35,$B21,$H$18:$H$35)</f>
        <v/>
      </c>
    </row>
    <row r="22" ht="24" customHeight="1">
      <c r="B22" s="32" t="inlineStr">
        <is>
          <t>Step 03</t>
        </is>
      </c>
      <c r="C22" s="33" t="inlineStr">
        <is>
          <t>SEC-05</t>
        </is>
      </c>
      <c r="D22" s="33" t="inlineStr">
        <is>
          <t>Competitor Coverage Matrix</t>
        </is>
      </c>
      <c r="E22" s="25">
        <f>COUNTIFS(Tree!$B$2:$B$170,$C22,Tree!$E$2:$E$170,1)</f>
        <v/>
      </c>
      <c r="F22" s="25">
        <f>COUNTIFS(Tree!$B$2:$B$170,$C22,Tree!$E$2:$E$170,2)</f>
        <v/>
      </c>
      <c r="G22" s="25">
        <f>COUNTIFS(Tree!$B$2:$B$170,$C22,Tree!$E$2:$E$170,3)</f>
        <v/>
      </c>
      <c r="H22" s="25">
        <f>E22+F22+G22</f>
        <v/>
      </c>
      <c r="I22" s="25">
        <f>COUNTIF('Allowed values'!$E$2:$E$195,$C22)</f>
        <v/>
      </c>
      <c r="J22" s="25">
        <f>COUNTIFS(Tree!$B$2:$B$170,$C22,Tree!$E$2:$E$170,3,Tree!$J$2:$J$170,"atomic")</f>
        <v/>
      </c>
      <c r="K22" s="27">
        <f>H22/SUMIF($B$18:$B$35,$B22,$H$18:$H$35)</f>
        <v/>
      </c>
    </row>
    <row r="23" ht="24" customHeight="1">
      <c r="B23" s="32" t="inlineStr">
        <is>
          <t>Step 03</t>
        </is>
      </c>
      <c r="C23" s="33" t="inlineStr">
        <is>
          <t>SEC-06</t>
        </is>
      </c>
      <c r="D23" s="33" t="inlineStr">
        <is>
          <t>Requirement Trace</t>
        </is>
      </c>
      <c r="E23" s="25">
        <f>COUNTIFS(Tree!$B$2:$B$170,$C23,Tree!$E$2:$E$170,1)</f>
        <v/>
      </c>
      <c r="F23" s="25">
        <f>COUNTIFS(Tree!$B$2:$B$170,$C23,Tree!$E$2:$E$170,2)</f>
        <v/>
      </c>
      <c r="G23" s="25">
        <f>COUNTIFS(Tree!$B$2:$B$170,$C23,Tree!$E$2:$E$170,3)</f>
        <v/>
      </c>
      <c r="H23" s="25">
        <f>E23+F23+G23</f>
        <v/>
      </c>
      <c r="I23" s="25">
        <f>COUNTIF('Allowed values'!$E$2:$E$195,$C23)</f>
        <v/>
      </c>
      <c r="J23" s="25">
        <f>COUNTIFS(Tree!$B$2:$B$170,$C23,Tree!$E$2:$E$170,3,Tree!$J$2:$J$170,"atomic")</f>
        <v/>
      </c>
      <c r="K23" s="27">
        <f>H23/SUMIF($B$18:$B$35,$B23,$H$18:$H$35)</f>
        <v/>
      </c>
    </row>
    <row r="24" ht="24" customHeight="1">
      <c r="B24" s="32" t="inlineStr">
        <is>
          <t>Step 03</t>
        </is>
      </c>
      <c r="C24" s="33" t="inlineStr">
        <is>
          <t>SEC-07</t>
        </is>
      </c>
      <c r="D24" s="33" t="inlineStr">
        <is>
          <t>Competitor Gaps</t>
        </is>
      </c>
      <c r="E24" s="25">
        <f>COUNTIFS(Tree!$B$2:$B$170,$C24,Tree!$E$2:$E$170,1)</f>
        <v/>
      </c>
      <c r="F24" s="25">
        <f>COUNTIFS(Tree!$B$2:$B$170,$C24,Tree!$E$2:$E$170,2)</f>
        <v/>
      </c>
      <c r="G24" s="25">
        <f>COUNTIFS(Tree!$B$2:$B$170,$C24,Tree!$E$2:$E$170,3)</f>
        <v/>
      </c>
      <c r="H24" s="25">
        <f>E24+F24+G24</f>
        <v/>
      </c>
      <c r="I24" s="25">
        <f>COUNTIF('Allowed values'!$E$2:$E$195,$C24)</f>
        <v/>
      </c>
      <c r="J24" s="25">
        <f>COUNTIFS(Tree!$B$2:$B$170,$C24,Tree!$E$2:$E$170,3,Tree!$J$2:$J$170,"atomic")</f>
        <v/>
      </c>
      <c r="K24" s="27">
        <f>H24/SUMIF($B$18:$B$35,$B24,$H$18:$H$35)</f>
        <v/>
      </c>
    </row>
    <row r="25" ht="24" customHeight="1">
      <c r="B25" s="32" t="inlineStr">
        <is>
          <t>Step 03</t>
        </is>
      </c>
      <c r="C25" s="33" t="inlineStr">
        <is>
          <t>SEC-08</t>
        </is>
      </c>
      <c r="D25" s="33" t="inlineStr">
        <is>
          <t>Review Log</t>
        </is>
      </c>
      <c r="E25" s="25">
        <f>COUNTIFS(Tree!$B$2:$B$170,$C25,Tree!$E$2:$E$170,1)</f>
        <v/>
      </c>
      <c r="F25" s="25">
        <f>COUNTIFS(Tree!$B$2:$B$170,$C25,Tree!$E$2:$E$170,2)</f>
        <v/>
      </c>
      <c r="G25" s="25">
        <f>COUNTIFS(Tree!$B$2:$B$170,$C25,Tree!$E$2:$E$170,3)</f>
        <v/>
      </c>
      <c r="H25" s="25">
        <f>E25+F25+G25</f>
        <v/>
      </c>
      <c r="I25" s="25">
        <f>COUNTIF('Allowed values'!$E$2:$E$195,$C25)</f>
        <v/>
      </c>
      <c r="J25" s="25">
        <f>COUNTIFS(Tree!$B$2:$B$170,$C25,Tree!$E$2:$E$170,3,Tree!$J$2:$J$170,"atomic")</f>
        <v/>
      </c>
      <c r="K25" s="27">
        <f>H25/SUMIF($B$18:$B$35,$B25,$H$18:$H$35)</f>
        <v/>
      </c>
    </row>
    <row r="26" ht="24" customHeight="1">
      <c r="B26" s="34" t="inlineStr">
        <is>
          <t>Step 04</t>
        </is>
      </c>
      <c r="C26" s="35" t="inlineStr">
        <is>
          <t>SEC-09</t>
        </is>
      </c>
      <c r="D26" s="35" t="inlineStr">
        <is>
          <t>NFR Identity</t>
        </is>
      </c>
      <c r="E26" s="25">
        <f>COUNTIFS(Tree!$B$2:$B$170,$C26,Tree!$E$2:$E$170,1)</f>
        <v/>
      </c>
      <c r="F26" s="25">
        <f>COUNTIFS(Tree!$B$2:$B$170,$C26,Tree!$E$2:$E$170,2)</f>
        <v/>
      </c>
      <c r="G26" s="25">
        <f>COUNTIFS(Tree!$B$2:$B$170,$C26,Tree!$E$2:$E$170,3)</f>
        <v/>
      </c>
      <c r="H26" s="25">
        <f>E26+F26+G26</f>
        <v/>
      </c>
      <c r="I26" s="25">
        <f>COUNTIF('Allowed values'!$E$2:$E$195,$C26)</f>
        <v/>
      </c>
      <c r="J26" s="25">
        <f>COUNTIFS(Tree!$B$2:$B$170,$C26,Tree!$E$2:$E$170,3,Tree!$J$2:$J$170,"atomic")</f>
        <v/>
      </c>
      <c r="K26" s="27">
        <f>H26/SUMIF($B$18:$B$35,$B26,$H$18:$H$35)</f>
        <v/>
      </c>
    </row>
    <row r="27" ht="24" customHeight="1">
      <c r="B27" s="34" t="inlineStr">
        <is>
          <t>Step 04</t>
        </is>
      </c>
      <c r="C27" s="35" t="inlineStr">
        <is>
          <t>SEC-10</t>
        </is>
      </c>
      <c r="D27" s="35" t="inlineStr">
        <is>
          <t>NFR Target</t>
        </is>
      </c>
      <c r="E27" s="25">
        <f>COUNTIFS(Tree!$B$2:$B$170,$C27,Tree!$E$2:$E$170,1)</f>
        <v/>
      </c>
      <c r="F27" s="25">
        <f>COUNTIFS(Tree!$B$2:$B$170,$C27,Tree!$E$2:$E$170,2)</f>
        <v/>
      </c>
      <c r="G27" s="25">
        <f>COUNTIFS(Tree!$B$2:$B$170,$C27,Tree!$E$2:$E$170,3)</f>
        <v/>
      </c>
      <c r="H27" s="25">
        <f>E27+F27+G27</f>
        <v/>
      </c>
      <c r="I27" s="25">
        <f>COUNTIF('Allowed values'!$E$2:$E$195,$C27)</f>
        <v/>
      </c>
      <c r="J27" s="25">
        <f>COUNTIFS(Tree!$B$2:$B$170,$C27,Tree!$E$2:$E$170,3,Tree!$J$2:$J$170,"atomic")</f>
        <v/>
      </c>
      <c r="K27" s="27">
        <f>H27/SUMIF($B$18:$B$35,$B27,$H$18:$H$35)</f>
        <v/>
      </c>
    </row>
    <row r="28" ht="24" customHeight="1">
      <c r="B28" s="34" t="inlineStr">
        <is>
          <t>Step 04</t>
        </is>
      </c>
      <c r="C28" s="35" t="inlineStr">
        <is>
          <t>SEC-11</t>
        </is>
      </c>
      <c r="D28" s="35" t="inlineStr">
        <is>
          <t>NFR Measurement</t>
        </is>
      </c>
      <c r="E28" s="25">
        <f>COUNTIFS(Tree!$B$2:$B$170,$C28,Tree!$E$2:$E$170,1)</f>
        <v/>
      </c>
      <c r="F28" s="25">
        <f>COUNTIFS(Tree!$B$2:$B$170,$C28,Tree!$E$2:$E$170,2)</f>
        <v/>
      </c>
      <c r="G28" s="25">
        <f>COUNTIFS(Tree!$B$2:$B$170,$C28,Tree!$E$2:$E$170,3)</f>
        <v/>
      </c>
      <c r="H28" s="25">
        <f>E28+F28+G28</f>
        <v/>
      </c>
      <c r="I28" s="25">
        <f>COUNTIF('Allowed values'!$E$2:$E$195,$C28)</f>
        <v/>
      </c>
      <c r="J28" s="25">
        <f>COUNTIFS(Tree!$B$2:$B$170,$C28,Tree!$E$2:$E$170,3,Tree!$J$2:$J$170,"atomic")</f>
        <v/>
      </c>
      <c r="K28" s="27">
        <f>H28/SUMIF($B$18:$B$35,$B28,$H$18:$H$35)</f>
        <v/>
      </c>
    </row>
    <row r="29" ht="24" customHeight="1">
      <c r="B29" s="34" t="inlineStr">
        <is>
          <t>Step 04</t>
        </is>
      </c>
      <c r="C29" s="35" t="inlineStr">
        <is>
          <t>SEC-12</t>
        </is>
      </c>
      <c r="D29" s="35" t="inlineStr">
        <is>
          <t>NFR Basis</t>
        </is>
      </c>
      <c r="E29" s="25">
        <f>COUNTIFS(Tree!$B$2:$B$170,$C29,Tree!$E$2:$E$170,1)</f>
        <v/>
      </c>
      <c r="F29" s="25">
        <f>COUNTIFS(Tree!$B$2:$B$170,$C29,Tree!$E$2:$E$170,2)</f>
        <v/>
      </c>
      <c r="G29" s="25">
        <f>COUNTIFS(Tree!$B$2:$B$170,$C29,Tree!$E$2:$E$170,3)</f>
        <v/>
      </c>
      <c r="H29" s="25">
        <f>E29+F29+G29</f>
        <v/>
      </c>
      <c r="I29" s="25">
        <f>COUNTIF('Allowed values'!$E$2:$E$195,$C29)</f>
        <v/>
      </c>
      <c r="J29" s="25">
        <f>COUNTIFS(Tree!$B$2:$B$170,$C29,Tree!$E$2:$E$170,3,Tree!$J$2:$J$170,"atomic")</f>
        <v/>
      </c>
      <c r="K29" s="27">
        <f>H29/SUMIF($B$18:$B$35,$B29,$H$18:$H$35)</f>
        <v/>
      </c>
    </row>
    <row r="30" ht="24" customHeight="1">
      <c r="B30" s="34" t="inlineStr">
        <is>
          <t>Step 04</t>
        </is>
      </c>
      <c r="C30" s="35" t="inlineStr">
        <is>
          <t>SEC-13</t>
        </is>
      </c>
      <c r="D30" s="35" t="inlineStr">
        <is>
          <t>NFR Status</t>
        </is>
      </c>
      <c r="E30" s="25">
        <f>COUNTIFS(Tree!$B$2:$B$170,$C30,Tree!$E$2:$E$170,1)</f>
        <v/>
      </c>
      <c r="F30" s="25">
        <f>COUNTIFS(Tree!$B$2:$B$170,$C30,Tree!$E$2:$E$170,2)</f>
        <v/>
      </c>
      <c r="G30" s="25">
        <f>COUNTIFS(Tree!$B$2:$B$170,$C30,Tree!$E$2:$E$170,3)</f>
        <v/>
      </c>
      <c r="H30" s="25">
        <f>E30+F30+G30</f>
        <v/>
      </c>
      <c r="I30" s="25">
        <f>COUNTIF('Allowed values'!$E$2:$E$195,$C30)</f>
        <v/>
      </c>
      <c r="J30" s="25">
        <f>COUNTIFS(Tree!$B$2:$B$170,$C30,Tree!$E$2:$E$170,3,Tree!$J$2:$J$170,"atomic")</f>
        <v/>
      </c>
      <c r="K30" s="27">
        <f>H30/SUMIF($B$18:$B$35,$B30,$H$18:$H$35)</f>
        <v/>
      </c>
    </row>
    <row r="31" ht="24" customHeight="1">
      <c r="B31" s="36" t="inlineStr">
        <is>
          <t>Step 01</t>
        </is>
      </c>
      <c r="C31" s="37" t="inlineStr">
        <is>
          <t>SEC-14</t>
        </is>
      </c>
      <c r="D31" s="37" t="inlineStr">
        <is>
          <t>Requirement Identity</t>
        </is>
      </c>
      <c r="E31" s="25">
        <f>COUNTIFS(Tree!$B$2:$B$170,$C31,Tree!$E$2:$E$170,1)</f>
        <v/>
      </c>
      <c r="F31" s="25">
        <f>COUNTIFS(Tree!$B$2:$B$170,$C31,Tree!$E$2:$E$170,2)</f>
        <v/>
      </c>
      <c r="G31" s="25">
        <f>COUNTIFS(Tree!$B$2:$B$170,$C31,Tree!$E$2:$E$170,3)</f>
        <v/>
      </c>
      <c r="H31" s="25">
        <f>E31+F31+G31</f>
        <v/>
      </c>
      <c r="I31" s="25">
        <f>COUNTIF('Allowed values'!$E$2:$E$195,$C31)</f>
        <v/>
      </c>
      <c r="J31" s="25">
        <f>COUNTIFS(Tree!$B$2:$B$170,$C31,Tree!$E$2:$E$170,3,Tree!$J$2:$J$170,"atomic")</f>
        <v/>
      </c>
      <c r="K31" s="27">
        <f>H31/SUMIF($B$18:$B$35,$B31,$H$18:$H$35)</f>
        <v/>
      </c>
    </row>
    <row r="32" ht="24" customHeight="1">
      <c r="B32" s="36" t="inlineStr">
        <is>
          <t>Step 01</t>
        </is>
      </c>
      <c r="C32" s="37" t="inlineStr">
        <is>
          <t>SEC-15</t>
        </is>
      </c>
      <c r="D32" s="37" t="inlineStr">
        <is>
          <t>Requirement Origin</t>
        </is>
      </c>
      <c r="E32" s="25">
        <f>COUNTIFS(Tree!$B$2:$B$170,$C32,Tree!$E$2:$E$170,1)</f>
        <v/>
      </c>
      <c r="F32" s="25">
        <f>COUNTIFS(Tree!$B$2:$B$170,$C32,Tree!$E$2:$E$170,2)</f>
        <v/>
      </c>
      <c r="G32" s="25">
        <f>COUNTIFS(Tree!$B$2:$B$170,$C32,Tree!$E$2:$E$170,3)</f>
        <v/>
      </c>
      <c r="H32" s="25">
        <f>E32+F32+G32</f>
        <v/>
      </c>
      <c r="I32" s="25">
        <f>COUNTIF('Allowed values'!$E$2:$E$195,$C32)</f>
        <v/>
      </c>
      <c r="J32" s="25">
        <f>COUNTIFS(Tree!$B$2:$B$170,$C32,Tree!$E$2:$E$170,3,Tree!$J$2:$J$170,"atomic")</f>
        <v/>
      </c>
      <c r="K32" s="27">
        <f>H32/SUMIF($B$18:$B$35,$B32,$H$18:$H$35)</f>
        <v/>
      </c>
    </row>
    <row r="33" ht="24" customHeight="1">
      <c r="B33" s="36" t="inlineStr">
        <is>
          <t>Step 01</t>
        </is>
      </c>
      <c r="C33" s="37" t="inlineStr">
        <is>
          <t>SEC-16</t>
        </is>
      </c>
      <c r="D33" s="37" t="inlineStr">
        <is>
          <t>Priority and Clarity</t>
        </is>
      </c>
      <c r="E33" s="25">
        <f>COUNTIFS(Tree!$B$2:$B$170,$C33,Tree!$E$2:$E$170,1)</f>
        <v/>
      </c>
      <c r="F33" s="25">
        <f>COUNTIFS(Tree!$B$2:$B$170,$C33,Tree!$E$2:$E$170,2)</f>
        <v/>
      </c>
      <c r="G33" s="25">
        <f>COUNTIFS(Tree!$B$2:$B$170,$C33,Tree!$E$2:$E$170,3)</f>
        <v/>
      </c>
      <c r="H33" s="25">
        <f>E33+F33+G33</f>
        <v/>
      </c>
      <c r="I33" s="25">
        <f>COUNTIF('Allowed values'!$E$2:$E$195,$C33)</f>
        <v/>
      </c>
      <c r="J33" s="25">
        <f>COUNTIFS(Tree!$B$2:$B$170,$C33,Tree!$E$2:$E$170,3,Tree!$J$2:$J$170,"atomic")</f>
        <v/>
      </c>
      <c r="K33" s="27">
        <f>H33/SUMIF($B$18:$B$35,$B33,$H$18:$H$35)</f>
        <v/>
      </c>
    </row>
    <row r="34" ht="24" customHeight="1">
      <c r="B34" s="36" t="inlineStr">
        <is>
          <t>Step 01</t>
        </is>
      </c>
      <c r="C34" s="37" t="inlineStr">
        <is>
          <t>SEC-17</t>
        </is>
      </c>
      <c r="D34" s="37" t="inlineStr">
        <is>
          <t>Requirement Status</t>
        </is>
      </c>
      <c r="E34" s="25">
        <f>COUNTIFS(Tree!$B$2:$B$170,$C34,Tree!$E$2:$E$170,1)</f>
        <v/>
      </c>
      <c r="F34" s="25">
        <f>COUNTIFS(Tree!$B$2:$B$170,$C34,Tree!$E$2:$E$170,2)</f>
        <v/>
      </c>
      <c r="G34" s="25">
        <f>COUNTIFS(Tree!$B$2:$B$170,$C34,Tree!$E$2:$E$170,3)</f>
        <v/>
      </c>
      <c r="H34" s="25">
        <f>E34+F34+G34</f>
        <v/>
      </c>
      <c r="I34" s="25">
        <f>COUNTIF('Allowed values'!$E$2:$E$195,$C34)</f>
        <v/>
      </c>
      <c r="J34" s="25">
        <f>COUNTIFS(Tree!$B$2:$B$170,$C34,Tree!$E$2:$E$170,3,Tree!$J$2:$J$170,"atomic")</f>
        <v/>
      </c>
      <c r="K34" s="27">
        <f>H34/SUMIF($B$18:$B$35,$B34,$H$18:$H$35)</f>
        <v/>
      </c>
    </row>
    <row r="35" ht="24" customHeight="1">
      <c r="B35" s="36" t="inlineStr">
        <is>
          <t>Step 01</t>
        </is>
      </c>
      <c r="C35" s="37" t="inlineStr">
        <is>
          <t>SEC-18</t>
        </is>
      </c>
      <c r="D35" s="37" t="inlineStr">
        <is>
          <t>Scope Lines</t>
        </is>
      </c>
      <c r="E35" s="25">
        <f>COUNTIFS(Tree!$B$2:$B$170,$C35,Tree!$E$2:$E$170,1)</f>
        <v/>
      </c>
      <c r="F35" s="25">
        <f>COUNTIFS(Tree!$B$2:$B$170,$C35,Tree!$E$2:$E$170,2)</f>
        <v/>
      </c>
      <c r="G35" s="25">
        <f>COUNTIFS(Tree!$B$2:$B$170,$C35,Tree!$E$2:$E$170,3)</f>
        <v/>
      </c>
      <c r="H35" s="25">
        <f>E35+F35+G35</f>
        <v/>
      </c>
      <c r="I35" s="25">
        <f>COUNTIF('Allowed values'!$E$2:$E$195,$C35)</f>
        <v/>
      </c>
      <c r="J35" s="25">
        <f>COUNTIFS(Tree!$B$2:$B$170,$C35,Tree!$E$2:$E$170,3,Tree!$J$2:$J$170,"atomic")</f>
        <v/>
      </c>
      <c r="K35" s="27">
        <f>H35/SUMIF($B$18:$B$35,$B35,$H$18:$H$35)</f>
        <v/>
      </c>
    </row>
    <row r="36" ht="24" customHeight="1">
      <c r="B36" s="28" t="inlineStr">
        <is>
          <t>Total</t>
        </is>
      </c>
      <c r="C36" s="29" t="n"/>
      <c r="D36" s="29" t="inlineStr">
        <is>
          <t>All sections</t>
        </is>
      </c>
      <c r="E36" s="28">
        <f>SUM(E18:E35)</f>
        <v/>
      </c>
      <c r="F36" s="28">
        <f>SUM(F18:F35)</f>
        <v/>
      </c>
      <c r="G36" s="28">
        <f>SUM(G18:G35)</f>
        <v/>
      </c>
      <c r="H36" s="28">
        <f>SUM(H18:H35)</f>
        <v/>
      </c>
      <c r="I36" s="28">
        <f>SUM(I18:I35)</f>
        <v/>
      </c>
      <c r="J36" s="28">
        <f>SUM(J18:J35)</f>
        <v/>
      </c>
      <c r="K36" s="30" t="n"/>
    </row>
    <row r="37" ht="24" customHeight="1">
      <c r="B37" s="25" t="inlineStr">
        <is>
          <t>Other</t>
        </is>
      </c>
      <c r="C37" s="26" t="n"/>
      <c r="D37" s="26" t="inlineStr">
        <is>
          <t>Shared lists (no section)</t>
        </is>
      </c>
      <c r="E37" s="25" t="n"/>
      <c r="F37" s="25" t="n"/>
      <c r="G37" s="25" t="n"/>
      <c r="H37" s="25" t="n"/>
      <c r="I37" s="25">
        <f>COUNTIF('Allowed values'!$E$2:$E$195,"Shared")</f>
        <v/>
      </c>
      <c r="J37" s="25" t="n"/>
      <c r="K37" s="27" t="n"/>
    </row>
    <row r="39">
      <c r="B39" s="23" t="inlineStr">
        <is>
          <t>The three deliverables for each step</t>
        </is>
      </c>
    </row>
    <row r="40">
      <c r="B40" s="38" t="inlineStr">
        <is>
          <t>Step</t>
        </is>
      </c>
      <c r="C40" s="38" t="inlineStr">
        <is>
          <t>Deliverable</t>
        </is>
      </c>
      <c r="D40" s="38" t="inlineStr">
        <is>
          <t>Where it is</t>
        </is>
      </c>
      <c r="H40" s="38" t="inlineStr">
        <is>
          <t>Status</t>
        </is>
      </c>
    </row>
    <row r="41" ht="30" customHeight="1">
      <c r="B41" s="26" t="inlineStr">
        <is>
          <t>01 a</t>
        </is>
      </c>
      <c r="C41" s="26" t="inlineStr">
        <is>
          <t>Output schema definition</t>
        </is>
      </c>
      <c r="D41" s="26" t="inlineStr">
        <is>
          <t>Tree (sections 14-18), Schema register, Allowed values</t>
        </is>
      </c>
      <c r="E41" s="26" t="n"/>
      <c r="F41" s="26" t="n"/>
      <c r="G41" s="26" t="n"/>
      <c r="H41" s="26" t="inlineStr">
        <is>
          <t>Done: 18 sub-parameters in two tables</t>
        </is>
      </c>
      <c r="I41" s="26" t="n"/>
      <c r="J41" s="26" t="n"/>
      <c r="K41" s="26" t="n"/>
    </row>
    <row r="42" ht="30" customHeight="1">
      <c r="B42" s="26" t="inlineStr">
        <is>
          <t>01 b</t>
        </is>
      </c>
      <c r="C42" s="26" t="inlineStr">
        <is>
          <t>Schema rating scorecard</t>
        </is>
      </c>
      <c r="D42" s="26" t="inlineStr">
        <is>
          <t>Scorecard (covers the whole tree); Playbook map has the Step 01 data checks</t>
        </is>
      </c>
      <c r="E42" s="26" t="n"/>
      <c r="F42" s="26" t="n"/>
      <c r="G42" s="26" t="n"/>
      <c r="H42" s="26" t="inlineStr">
        <is>
          <t>Part A done; reviewer rating pending</t>
        </is>
      </c>
      <c r="I42" s="26" t="n"/>
      <c r="J42" s="26" t="n"/>
      <c r="K42" s="26" t="n"/>
    </row>
    <row r="43" ht="30" customHeight="1">
      <c r="B43" s="26" t="inlineStr">
        <is>
          <t>01 c</t>
        </is>
      </c>
      <c r="C43" s="26" t="inlineStr">
        <is>
          <t>Output document</t>
        </is>
      </c>
      <c r="D43" s="26" t="inlineStr">
        <is>
          <t>Requirements (108 FRs), Scope lines</t>
        </is>
      </c>
      <c r="E43" s="26" t="n"/>
      <c r="F43" s="26" t="n"/>
      <c r="G43" s="26" t="n"/>
      <c r="H43" s="26">
        <f>"Draft. Playbook checks: "&amp;COUNTIF('Playbook map'!$I$34:$I$42,"PASS")&amp;" of 7 pass"</f>
        <v/>
      </c>
      <c r="I43" s="26" t="n"/>
      <c r="J43" s="26" t="n"/>
      <c r="K43" s="26" t="n"/>
    </row>
    <row r="44" ht="30" customHeight="1">
      <c r="B44" s="26" t="inlineStr">
        <is>
          <t>03 a</t>
        </is>
      </c>
      <c r="C44" s="26" t="inlineStr">
        <is>
          <t>Output schema definition</t>
        </is>
      </c>
      <c r="D44" s="26" t="inlineStr">
        <is>
          <t>Tree (sections 1-8), Schema register, Allowed values</t>
        </is>
      </c>
      <c r="E44" s="26" t="n"/>
      <c r="F44" s="26" t="n"/>
      <c r="G44" s="26" t="n"/>
      <c r="H44" s="26" t="inlineStr">
        <is>
          <t>Done: v1.3</t>
        </is>
      </c>
      <c r="I44" s="26" t="n"/>
      <c r="J44" s="26" t="n"/>
      <c r="K44" s="26" t="n"/>
    </row>
    <row r="45" ht="30" customHeight="1">
      <c r="B45" s="26" t="inlineStr">
        <is>
          <t>03 b</t>
        </is>
      </c>
      <c r="C45" s="26" t="inlineStr">
        <is>
          <t>Schema rating scorecard</t>
        </is>
      </c>
      <c r="D45" s="26" t="inlineStr">
        <is>
          <t>Scorecard (Part A live; Part B for a reviewer)</t>
        </is>
      </c>
      <c r="E45" s="26" t="n"/>
      <c r="F45" s="26" t="n"/>
      <c r="G45" s="26" t="n"/>
      <c r="H45" s="26" t="inlineStr">
        <is>
          <t>Part A done; reviewer rating pending</t>
        </is>
      </c>
      <c r="I45" s="26" t="n"/>
      <c r="J45" s="26" t="n"/>
      <c r="K45" s="26" t="n"/>
    </row>
    <row r="46" ht="30" customHeight="1">
      <c r="B46" s="26" t="inlineStr">
        <is>
          <t>03 c</t>
        </is>
      </c>
      <c r="C46" s="26" t="inlineStr">
        <is>
          <t>Output document</t>
        </is>
      </c>
      <c r="D46" s="26" t="inlineStr">
        <is>
          <t>Feature discovery, Coverage matrix, Competitors</t>
        </is>
      </c>
      <c r="E46" s="26" t="n"/>
      <c r="F46" s="26" t="n"/>
      <c r="G46" s="26" t="n"/>
      <c r="H46" s="26">
        <f>"Draft. Playbook checks: "&amp;COUNTIF('Playbook map'!$I$5:$I$14,"PASS")&amp;" of 7 pass"</f>
        <v/>
      </c>
      <c r="I46" s="26" t="n"/>
      <c r="J46" s="26" t="n"/>
      <c r="K46" s="26" t="n"/>
    </row>
    <row r="47" ht="30" customHeight="1">
      <c r="B47" s="26" t="inlineStr">
        <is>
          <t>04 a</t>
        </is>
      </c>
      <c r="C47" s="26" t="inlineStr">
        <is>
          <t>Output schema definition</t>
        </is>
      </c>
      <c r="D47" s="26" t="inlineStr">
        <is>
          <t>Tree (sections 9-13), Schema register, Allowed values</t>
        </is>
      </c>
      <c r="E47" s="26" t="n"/>
      <c r="F47" s="26" t="n"/>
      <c r="G47" s="26" t="n"/>
      <c r="H47" s="26" t="inlineStr">
        <is>
          <t>Done: 18 sub-parameters, 19 columns in the nfr table</t>
        </is>
      </c>
      <c r="I47" s="26" t="n"/>
      <c r="J47" s="26" t="n"/>
      <c r="K47" s="26" t="n"/>
    </row>
    <row r="48" ht="30" customHeight="1">
      <c r="B48" s="26" t="inlineStr">
        <is>
          <t>04 b</t>
        </is>
      </c>
      <c r="C48" s="26" t="inlineStr">
        <is>
          <t>Schema rating scorecard</t>
        </is>
      </c>
      <c r="D48" s="26" t="inlineStr">
        <is>
          <t>Scorecard (covers the whole tree); Playbook map has the Step 04 data checks</t>
        </is>
      </c>
      <c r="E48" s="26" t="n"/>
      <c r="F48" s="26" t="n"/>
      <c r="G48" s="26" t="n"/>
      <c r="H48" s="26" t="inlineStr">
        <is>
          <t>Part A done; reviewer rating pending</t>
        </is>
      </c>
      <c r="I48" s="26" t="n"/>
      <c r="J48" s="26" t="n"/>
      <c r="K48" s="26" t="n"/>
    </row>
    <row r="49" ht="30" customHeight="1">
      <c r="B49" s="26" t="inlineStr">
        <is>
          <t>04 c</t>
        </is>
      </c>
      <c r="C49" s="26" t="inlineStr">
        <is>
          <t>Output document</t>
        </is>
      </c>
      <c r="D49" s="26" t="inlineStr">
        <is>
          <t>NFR register (20 NFRs)</t>
        </is>
      </c>
      <c r="E49" s="26" t="n"/>
      <c r="F49" s="26" t="n"/>
      <c r="G49" s="26" t="n"/>
      <c r="H49" s="26">
        <f>"Draft. Playbook checks: "&amp;COUNTIF('Playbook map'!$I$20:$I$26,"PASS")&amp;" of 7 pass; 6 NFRs are proposals"</f>
        <v/>
      </c>
      <c r="I49" s="26" t="n"/>
      <c r="J49" s="26" t="n"/>
      <c r="K49" s="26" t="n"/>
    </row>
  </sheetData>
  <mergeCells count="24">
    <mergeCell ref="H47:K47"/>
    <mergeCell ref="H48:K48"/>
    <mergeCell ref="D42:G42"/>
    <mergeCell ref="H42:K42"/>
    <mergeCell ref="D44:G44"/>
    <mergeCell ref="H43:K43"/>
    <mergeCell ref="H41:K41"/>
    <mergeCell ref="D46:G46"/>
    <mergeCell ref="D40:G40"/>
    <mergeCell ref="H44:K44"/>
    <mergeCell ref="H40:K40"/>
    <mergeCell ref="D45:G45"/>
    <mergeCell ref="H46:K46"/>
    <mergeCell ref="D49:G49"/>
    <mergeCell ref="H49:K49"/>
    <mergeCell ref="B7:J7"/>
    <mergeCell ref="B6:C6"/>
    <mergeCell ref="D41:G41"/>
    <mergeCell ref="D48:G48"/>
    <mergeCell ref="B5:C5"/>
    <mergeCell ref="D47:G47"/>
    <mergeCell ref="D43:G43"/>
    <mergeCell ref="H45:K45"/>
    <mergeCell ref="B4:C4"/>
  </mergeCells>
  <conditionalFormatting sqref="H11:H13">
    <cfRule type="dataBar" priority="1">
      <dataBar>
        <cfvo type="num" val="0"/>
        <cfvo type="max"/>
        <color rgb="005B9BD5"/>
      </dataBar>
    </cfRule>
  </conditionalFormatting>
  <conditionalFormatting sqref="H18:H35">
    <cfRule type="dataBar" priority="2">
      <dataBar>
        <cfvo type="num" val="0"/>
        <cfvo type="max"/>
        <color rgb="005B9BD5"/>
      </dataBar>
    </cfRule>
  </conditionalFormatting>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B1:I19"/>
  <sheetViews>
    <sheetView showGridLines="0" workbookViewId="0">
      <selection activeCell="A1" sqref="A1"/>
    </sheetView>
  </sheetViews>
  <sheetFormatPr baseColWidth="8" defaultRowHeight="15"/>
  <cols>
    <col width="2" customWidth="1" min="1" max="1"/>
    <col width="6" customWidth="1" min="2" max="2"/>
    <col width="26" customWidth="1" min="3" max="3"/>
    <col width="30" customWidth="1" min="4" max="4"/>
    <col width="36" customWidth="1" min="5" max="5"/>
    <col width="28" customWidth="1" min="6" max="6"/>
    <col width="32" customWidth="1" min="7" max="7"/>
    <col width="32" customWidth="1" min="8" max="8"/>
    <col width="30" customWidth="1" min="9" max="9"/>
  </cols>
  <sheetData>
    <row r="1" ht="28" customHeight="1">
      <c r="B1" s="1" t="inlineStr">
        <is>
          <t>Stage 1 · Discover: the five steps</t>
        </is>
      </c>
      <c r="C1" s="2" t="n"/>
      <c r="D1" s="2" t="n"/>
      <c r="E1" s="2" t="n"/>
      <c r="F1" s="2" t="n"/>
      <c r="G1" s="2" t="n"/>
      <c r="H1" s="2" t="n"/>
      <c r="I1" s="2" t="n"/>
    </row>
    <row r="2">
      <c r="B2" s="3" t="inlineStr">
        <is>
          <t>From the DDD Lifecycle Detailed Playbook, page 6 ('Understand before you model'). Each step has three deliverables: a) output schema definition, b) schema rating scorecard, c) output document.</t>
        </is>
      </c>
    </row>
    <row r="4">
      <c r="B4" s="24" t="inlineStr">
        <is>
          <t>Step</t>
        </is>
      </c>
      <c r="C4" s="24" t="inlineStr">
        <is>
          <t>Name</t>
        </is>
      </c>
      <c r="D4" s="24" t="inlineStr">
        <is>
          <t>Purpose</t>
        </is>
      </c>
      <c r="E4" s="24" t="inlineStr">
        <is>
          <t>Do</t>
        </is>
      </c>
      <c r="F4" s="24" t="inlineStr">
        <is>
          <t>Produce</t>
        </is>
      </c>
      <c r="G4" s="24" t="inlineStr">
        <is>
          <t>Done when</t>
        </is>
      </c>
      <c r="H4" s="24" t="inlineStr">
        <is>
          <t>Go deeper</t>
        </is>
      </c>
      <c r="I4" s="24" t="inlineStr">
        <is>
          <t>In this workbook?</t>
        </is>
      </c>
    </row>
    <row r="5" ht="78" customHeight="1">
      <c r="B5" s="39" t="inlineStr">
        <is>
          <t>01</t>
        </is>
      </c>
      <c r="C5" s="39" t="inlineStr">
        <is>
          <t>Requirement Analysis Docket</t>
        </is>
      </c>
      <c r="D5" s="39" t="inlineStr">
        <is>
          <t>Turn the raw brief into a structured, unambiguous problem statement.</t>
        </is>
      </c>
      <c r="E5" s="39" t="inlineStr">
        <is>
          <t>Split the brief into goals, scope, out-of-scope, assumptions and open questions. Give every requirement an ID.</t>
        </is>
      </c>
      <c r="F5" s="39" t="inlineStr">
        <is>
          <t>Requirements docket: ID, statement, source, priority, ambiguity notes.</t>
        </is>
      </c>
      <c r="G5" s="39" t="inlineStr">
        <is>
          <t>Every sentence of the brief maps to a requirement ID or an explicit out-of-scope line.</t>
        </is>
      </c>
      <c r="H5" s="39" t="inlineStr">
        <is>
          <t>Turn vague words like 'fast' and 'many' into numbers. Rank open questions by design impact.</t>
        </is>
      </c>
      <c r="I5" s="39" t="inlineStr">
        <is>
          <t>YES: this workbook</t>
        </is>
      </c>
    </row>
    <row r="6" ht="78" customHeight="1">
      <c r="B6" s="40" t="inlineStr">
        <is>
          <t>02</t>
        </is>
      </c>
      <c r="C6" s="40" t="inlineStr">
        <is>
          <t>Stakeholders, Personas and Roles</t>
        </is>
      </c>
      <c r="D6" s="40" t="inlineStr">
        <is>
          <t>Know who uses the system, who owns it and who is affected.</t>
        </is>
      </c>
      <c r="E6" s="40" t="inlineStr">
        <is>
          <t>List every human and system actor with goals, permissions and frequency of use.</t>
        </is>
      </c>
      <c r="F6" s="40" t="inlineStr">
        <is>
          <t>Persona cards and a role-permission matrix.</t>
        </is>
      </c>
      <c r="G6" s="40" t="inlineStr">
        <is>
          <t>Every requirement names at least one actor.</t>
        </is>
      </c>
      <c r="H6" s="40" t="inlineStr">
        <is>
          <t>Include edge actors: auditors, support staff, regulators, scheduled jobs.</t>
        </is>
      </c>
      <c r="I6" s="40" t="inlineStr">
        <is>
          <t>No</t>
        </is>
      </c>
    </row>
    <row r="7" ht="78" customHeight="1">
      <c r="B7" s="39" t="inlineStr">
        <is>
          <t>03</t>
        </is>
      </c>
      <c r="C7" s="39" t="inlineStr">
        <is>
          <t>Feature Discovery</t>
        </is>
      </c>
      <c r="D7" s="39" t="inlineStr">
        <is>
          <t>Find what the product must do and what market leaders already do.</t>
        </is>
      </c>
      <c r="E7" s="39" t="inlineStr">
        <is>
          <t>Study at least three competing products. Classify features as must-have, should-have or differentiator.</t>
        </is>
      </c>
      <c r="F7" s="39" t="inlineStr">
        <is>
          <t>Feature inventory with a competitor coverage matrix.</t>
        </is>
      </c>
      <c r="G7" s="39" t="inlineStr">
        <is>
          <t>Every feature traces to a requirement or is flagged as a new insight.</t>
        </is>
      </c>
      <c r="H7" s="39" t="inlineStr">
        <is>
          <t>Find what competitors lack and argue why it matters.</t>
        </is>
      </c>
      <c r="I7" s="39" t="inlineStr">
        <is>
          <t>YES: this workbook</t>
        </is>
      </c>
    </row>
    <row r="8" ht="78" customHeight="1">
      <c r="B8" s="39" t="inlineStr">
        <is>
          <t>04</t>
        </is>
      </c>
      <c r="C8" s="39" t="inlineStr">
        <is>
          <t>NFR Discovery</t>
        </is>
      </c>
      <c r="D8" s="39" t="inlineStr">
        <is>
          <t>Fix measurable quality targets before the design locks them out.</t>
        </is>
      </c>
      <c r="E8" s="39" t="inlineStr">
        <is>
          <t>Set targets for scale, response time, availability, security, privacy, compliance and accessibility.</t>
        </is>
      </c>
      <c r="F8" s="39" t="inlineStr">
        <is>
          <t>NFR register: ID, metric, target, how it is measured.</t>
        </is>
      </c>
      <c r="G8" s="39" t="inlineStr">
        <is>
          <t>Every NFR has a number and a test method.</t>
        </is>
      </c>
      <c r="H8" s="39" t="inlineStr">
        <is>
          <t>Derive targets from volumes, not guesses. Name the regulations that apply, such as the DPDP Act 2023.</t>
        </is>
      </c>
      <c r="I8" s="39" t="inlineStr">
        <is>
          <t>YES: this workbook</t>
        </is>
      </c>
    </row>
    <row r="9" ht="78" customHeight="1">
      <c r="B9" s="40" t="inlineStr">
        <is>
          <t>05</t>
        </is>
      </c>
      <c r="C9" s="40" t="inlineStr">
        <is>
          <t>Business Workflow Analysis</t>
        </is>
      </c>
      <c r="D9" s="40" t="inlineStr">
        <is>
          <t>Map how work actually flows from end to end.</t>
        </is>
      </c>
      <c r="E9" s="40" t="inlineStr">
        <is>
          <t>For each core workflow record trigger, steps, actors, decisions, exceptions and outputs.</t>
        </is>
      </c>
      <c r="F9" s="40" t="inlineStr">
        <is>
          <t>Workflow diagrams and an exception catalogue.</t>
        </is>
      </c>
      <c r="G9" s="40" t="inlineStr">
        <is>
          <t>Every must-have feature appears in at least one workflow.</t>
        </is>
      </c>
      <c r="H9" s="40" t="inlineStr">
        <is>
          <t>Map cancel, refund, retry and timeout paths, not only the happy path.</t>
        </is>
      </c>
      <c r="I9" s="40" t="inlineStr">
        <is>
          <t>No</t>
        </is>
      </c>
    </row>
    <row r="11">
      <c r="B11" s="41" t="inlineStr">
        <is>
          <t>Exit gate G1 · Problem understood: every requirement has an ID and an actor. Every NFR has a numeric target. Every must-have feature appears in a workflow.</t>
        </is>
      </c>
    </row>
    <row r="13">
      <c r="B13" s="23" t="inlineStr">
        <is>
          <t>Deliverables per step</t>
        </is>
      </c>
    </row>
    <row r="14">
      <c r="B14" s="24" t="inlineStr">
        <is>
          <t>Step</t>
        </is>
      </c>
      <c r="C14" s="24" t="inlineStr">
        <is>
          <t>Name</t>
        </is>
      </c>
      <c r="D14" s="24" t="inlineStr">
        <is>
          <t>a) Output schema definition</t>
        </is>
      </c>
      <c r="E14" s="24" t="inlineStr">
        <is>
          <t>b) Schema rating scorecard</t>
        </is>
      </c>
      <c r="F14" s="24" t="inlineStr">
        <is>
          <t>c) Output document</t>
        </is>
      </c>
    </row>
    <row r="15" ht="30" customHeight="1">
      <c r="B15" s="39" t="inlineStr">
        <is>
          <t>01</t>
        </is>
      </c>
      <c r="C15" s="39" t="inlineStr">
        <is>
          <t>Requirement Analysis Docket</t>
        </is>
      </c>
      <c r="D15" s="39" t="inlineStr">
        <is>
          <t>Tree sections 14-18, Schema register, Allowed values</t>
        </is>
      </c>
      <c r="E15" s="39" t="inlineStr">
        <is>
          <t>Scorecard</t>
        </is>
      </c>
      <c r="F15" s="39" t="inlineStr">
        <is>
          <t>Requirements, Scope lines</t>
        </is>
      </c>
    </row>
    <row r="16" ht="30" customHeight="1">
      <c r="B16" s="40" t="inlineStr">
        <is>
          <t>02</t>
        </is>
      </c>
      <c r="C16" s="40" t="inlineStr">
        <is>
          <t>Stakeholders, Personas and Roles</t>
        </is>
      </c>
      <c r="D16" s="40" t="inlineStr">
        <is>
          <t>Not in this workbook</t>
        </is>
      </c>
      <c r="E16" s="40" t="inlineStr">
        <is>
          <t>Not in this workbook</t>
        </is>
      </c>
      <c r="F16" s="40" t="inlineStr">
        <is>
          <t>Not in this workbook</t>
        </is>
      </c>
    </row>
    <row r="17" ht="30" customHeight="1">
      <c r="B17" s="39" t="inlineStr">
        <is>
          <t>03</t>
        </is>
      </c>
      <c r="C17" s="39" t="inlineStr">
        <is>
          <t>Feature Discovery</t>
        </is>
      </c>
      <c r="D17" s="39" t="inlineStr">
        <is>
          <t>Tree sections 1-8, Schema register, Allowed values</t>
        </is>
      </c>
      <c r="E17" s="39" t="inlineStr">
        <is>
          <t>Scorecard</t>
        </is>
      </c>
      <c r="F17" s="39" t="inlineStr">
        <is>
          <t>Feature discovery, Coverage matrix, Competitors</t>
        </is>
      </c>
    </row>
    <row r="18" ht="30" customHeight="1">
      <c r="B18" s="39" t="inlineStr">
        <is>
          <t>04</t>
        </is>
      </c>
      <c r="C18" s="39" t="inlineStr">
        <is>
          <t>NFR Discovery</t>
        </is>
      </c>
      <c r="D18" s="39" t="inlineStr">
        <is>
          <t>Tree sections 9-13, Schema register, Allowed values</t>
        </is>
      </c>
      <c r="E18" s="39" t="inlineStr">
        <is>
          <t>Scorecard</t>
        </is>
      </c>
      <c r="F18" s="39" t="inlineStr">
        <is>
          <t>NFR register</t>
        </is>
      </c>
    </row>
    <row r="19" ht="30" customHeight="1">
      <c r="B19" s="40" t="inlineStr">
        <is>
          <t>05</t>
        </is>
      </c>
      <c r="C19" s="40" t="inlineStr">
        <is>
          <t>Business Workflow Analysis</t>
        </is>
      </c>
      <c r="D19" s="40" t="inlineStr">
        <is>
          <t>Not in this workbook</t>
        </is>
      </c>
      <c r="E19" s="40" t="inlineStr">
        <is>
          <t>Not in this workbook</t>
        </is>
      </c>
      <c r="F19" s="40" t="inlineStr">
        <is>
          <t>Not in this workbook</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1:I44"/>
  <sheetViews>
    <sheetView showGridLines="0" workbookViewId="0">
      <selection activeCell="A1" sqref="A1"/>
    </sheetView>
  </sheetViews>
  <sheetFormatPr baseColWidth="8" defaultRowHeight="15"/>
  <cols>
    <col width="2" customWidth="1" min="1" max="1"/>
    <col width="12" customWidth="1" min="2" max="2"/>
    <col width="50" customWidth="1" min="3" max="3"/>
    <col width="10" customWidth="1" min="4" max="4"/>
    <col width="26" customWidth="1" min="5" max="5"/>
    <col width="12" customWidth="1" min="6" max="6"/>
    <col width="40" customWidth="1" min="7" max="7"/>
    <col width="12" customWidth="1" min="8" max="8"/>
    <col width="12" customWidth="1" min="9" max="9"/>
  </cols>
  <sheetData>
    <row r="1" ht="28" customHeight="1">
      <c r="B1" s="1" t="inlineStr">
        <is>
          <t>Step 03 playbook map</t>
        </is>
      </c>
      <c r="C1" s="2" t="n"/>
      <c r="D1" s="2" t="n"/>
      <c r="E1" s="2" t="n"/>
      <c r="F1" s="2" t="n"/>
      <c r="G1" s="2" t="n"/>
      <c r="H1" s="2" t="n"/>
      <c r="I1" s="2" t="n"/>
    </row>
    <row r="2">
      <c r="B2" s="3" t="inlineStr">
        <is>
          <t>Each phrase of the Step 03 row, the section that answers it, how many parameters sit under it (live) and a live check where the data allows one.</t>
        </is>
      </c>
    </row>
    <row r="4">
      <c r="B4" s="24" t="inlineStr">
        <is>
          <t>Playbook column</t>
        </is>
      </c>
      <c r="C4" s="24" t="inlineStr">
        <is>
          <t>Playbook words</t>
        </is>
      </c>
      <c r="D4" s="24" t="inlineStr">
        <is>
          <t>Section ID</t>
        </is>
      </c>
      <c r="E4" s="24" t="inlineStr">
        <is>
          <t>Section</t>
        </is>
      </c>
      <c r="F4" s="24" t="inlineStr">
        <is>
          <t>Parameters (L2+L3)</t>
        </is>
      </c>
      <c r="G4" s="24" t="inlineStr">
        <is>
          <t>Live check</t>
        </is>
      </c>
      <c r="H4" s="24" t="inlineStr">
        <is>
          <t>Value</t>
        </is>
      </c>
      <c r="I4" s="24" t="inlineStr">
        <is>
          <t>Result</t>
        </is>
      </c>
    </row>
    <row r="5" ht="34" customHeight="1">
      <c r="B5" s="40" t="inlineStr">
        <is>
          <t>Purpose</t>
        </is>
      </c>
      <c r="C5" s="40" t="inlineStr">
        <is>
          <t>Find what the product must do</t>
        </is>
      </c>
      <c r="D5" s="40" t="inlineStr">
        <is>
          <t>SEC-03</t>
        </is>
      </c>
      <c r="E5" s="40">
        <f>INDEX(Tree!$C$2:$C$170,MATCH(D5,Tree!$B$2:$B$170,0))</f>
        <v/>
      </c>
      <c r="F5" s="40">
        <f>COUNTIFS(Tree!$B$2:$B$170,D5,Tree!$E$2:$E$170,2)+COUNTIFS(Tree!$B$2:$B$170,D5,Tree!$E$2:$E$170,3)</f>
        <v/>
      </c>
      <c r="G5" s="40" t="inlineStr">
        <is>
          <t>Features recorded (one row each)</t>
        </is>
      </c>
      <c r="H5" s="40">
        <f>COUNTA('Feature discovery'!$A$4:$A$179)</f>
        <v/>
      </c>
      <c r="I5" s="40">
        <f>IF(H5&gt;=1,"PASS","FAIL")</f>
        <v/>
      </c>
    </row>
    <row r="6" ht="34" customHeight="1">
      <c r="B6" s="40" t="inlineStr">
        <is>
          <t>Purpose</t>
        </is>
      </c>
      <c r="C6" s="40" t="inlineStr">
        <is>
          <t>...and what market leaders already do</t>
        </is>
      </c>
      <c r="D6" s="40" t="inlineStr">
        <is>
          <t>SEC-05</t>
        </is>
      </c>
      <c r="E6" s="40">
        <f>INDEX(Tree!$C$2:$C$170,MATCH(D6,Tree!$B$2:$B$170,0))</f>
        <v/>
      </c>
      <c r="F6" s="40">
        <f>COUNTIFS(Tree!$B$2:$B$170,D6,Tree!$E$2:$E$170,2)+COUNTIFS(Tree!$B$2:$B$170,D6,Tree!$E$2:$E$170,3)</f>
        <v/>
      </c>
      <c r="G6" s="40" t="inlineStr">
        <is>
          <t>Features with a coverage row</t>
        </is>
      </c>
      <c r="H6" s="40">
        <f>COUNTA('Coverage matrix'!$A$4:$A$126)</f>
        <v/>
      </c>
      <c r="I6" s="40">
        <f>IF(H6&gt;=1,"PASS","FAIL")</f>
        <v/>
      </c>
    </row>
    <row r="7" ht="34" customHeight="1">
      <c r="B7" s="40" t="inlineStr">
        <is>
          <t>Do</t>
        </is>
      </c>
      <c r="C7" s="40" t="inlineStr">
        <is>
          <t>Study at least three competing products</t>
        </is>
      </c>
      <c r="D7" s="40" t="inlineStr">
        <is>
          <t>SEC-02</t>
        </is>
      </c>
      <c r="E7" s="40">
        <f>INDEX(Tree!$C$2:$C$170,MATCH(D7,Tree!$B$2:$B$170,0))</f>
        <v/>
      </c>
      <c r="F7" s="40">
        <f>COUNTIFS(Tree!$B$2:$B$170,D7,Tree!$E$2:$E$170,2)+COUNTIFS(Tree!$B$2:$B$170,D7,Tree!$E$2:$E$170,3)</f>
        <v/>
      </c>
      <c r="G7" s="40" t="inlineStr">
        <is>
          <t>Competitors studied (needs 3 or more)</t>
        </is>
      </c>
      <c r="H7" s="40">
        <f>COUNTA(Competitors!$A$4:$A$7)</f>
        <v/>
      </c>
      <c r="I7" s="40">
        <f>IF(H7&gt;=3,"PASS","FAIL")</f>
        <v/>
      </c>
    </row>
    <row r="8" ht="34" customHeight="1">
      <c r="B8" s="40" t="inlineStr">
        <is>
          <t>Do</t>
        </is>
      </c>
      <c r="C8" s="40" t="inlineStr">
        <is>
          <t>Classify features as must-have, should-have or differentiator</t>
        </is>
      </c>
      <c r="D8" s="40" t="inlineStr">
        <is>
          <t>SEC-04</t>
        </is>
      </c>
      <c r="E8" s="40">
        <f>INDEX(Tree!$C$2:$C$170,MATCH(D8,Tree!$B$2:$B$170,0))</f>
        <v/>
      </c>
      <c r="F8" s="40">
        <f>COUNTIFS(Tree!$B$2:$B$170,D8,Tree!$E$2:$E$170,2)+COUNTIFS(Tree!$B$2:$B$170,D8,Tree!$E$2:$E$170,3)</f>
        <v/>
      </c>
      <c r="G8" s="40" t="inlineStr">
        <is>
          <t>Features with a class other than the three (needs 0)</t>
        </is>
      </c>
      <c r="H8" s="40">
        <f>COUNTA('Feature discovery'!$K$4:$K$179)-COUNTIF('Feature discovery'!$K$4:$K$179,"MUST-HAVE")-COUNTIF('Feature discovery'!$K$4:$K$179,"SHOULD-HAVE")-COUNTIF('Feature discovery'!$K$4:$K$179,"DIFFERENTIATOR")</f>
        <v/>
      </c>
      <c r="I8" s="40">
        <f>IF(H8=0,"PASS","FAIL")</f>
        <v/>
      </c>
    </row>
    <row r="9" ht="34" customHeight="1">
      <c r="B9" s="40" t="inlineStr">
        <is>
          <t>Produce</t>
        </is>
      </c>
      <c r="C9" s="40" t="inlineStr">
        <is>
          <t>Feature inventory ...</t>
        </is>
      </c>
      <c r="D9" s="40" t="inlineStr">
        <is>
          <t>SEC-03</t>
        </is>
      </c>
      <c r="E9" s="40">
        <f>INDEX(Tree!$C$2:$C$170,MATCH(D9,Tree!$B$2:$B$170,0))</f>
        <v/>
      </c>
      <c r="F9" s="40">
        <f>COUNTIFS(Tree!$B$2:$B$170,D9,Tree!$E$2:$E$170,2)+COUNTIFS(Tree!$B$2:$B$170,D9,Tree!$E$2:$E$170,3)</f>
        <v/>
      </c>
      <c r="G9" s="40" t="inlineStr">
        <is>
          <t>Feature discovery rows</t>
        </is>
      </c>
      <c r="H9" s="40">
        <f>COUNTA('Feature discovery'!$A$4:$A$179)</f>
        <v/>
      </c>
      <c r="I9" s="40">
        <f>IF(H9&gt;=1,"PASS","FAIL")</f>
        <v/>
      </c>
    </row>
    <row r="10" ht="34" customHeight="1">
      <c r="B10" s="40" t="inlineStr">
        <is>
          <t>Produce</t>
        </is>
      </c>
      <c r="C10" s="40" t="inlineStr">
        <is>
          <t>... with a competitor coverage matrix</t>
        </is>
      </c>
      <c r="D10" s="40" t="inlineStr">
        <is>
          <t>SEC-05</t>
        </is>
      </c>
      <c r="E10" s="40">
        <f>INDEX(Tree!$C$2:$C$170,MATCH(D10,Tree!$B$2:$B$170,0))</f>
        <v/>
      </c>
      <c r="F10" s="40">
        <f>COUNTIFS(Tree!$B$2:$B$170,D10,Tree!$E$2:$E$170,2)+COUNTIFS(Tree!$B$2:$B$170,D10,Tree!$E$2:$E$170,3)</f>
        <v/>
      </c>
      <c r="G10" s="40" t="inlineStr">
        <is>
          <t>Coverage matrix rows</t>
        </is>
      </c>
      <c r="H10" s="40">
        <f>COUNTA('Coverage matrix'!$A$4:$A$126)</f>
        <v/>
      </c>
      <c r="I10" s="40">
        <f>IF(H10&gt;=1,"PASS","FAIL")</f>
        <v/>
      </c>
    </row>
    <row r="11" ht="34" customHeight="1">
      <c r="B11" s="40" t="inlineStr">
        <is>
          <t>Done when</t>
        </is>
      </c>
      <c r="C11" s="40" t="inlineStr">
        <is>
          <t>Every feature traces to a requirement or is flagged as a new insight</t>
        </is>
      </c>
      <c r="D11" s="40" t="inlineStr">
        <is>
          <t>SEC-06</t>
        </is>
      </c>
      <c r="E11" s="40">
        <f>INDEX(Tree!$C$2:$C$170,MATCH(D11,Tree!$B$2:$B$170,0))</f>
        <v/>
      </c>
      <c r="F11" s="40">
        <f>COUNTIFS(Tree!$B$2:$B$170,D11,Tree!$E$2:$E$170,2)+COUNTIFS(Tree!$B$2:$B$170,D11,Tree!$E$2:$E$170,3)</f>
        <v/>
      </c>
      <c r="G11" s="40" t="inlineStr">
        <is>
          <t>Features with neither (needs 0)</t>
        </is>
      </c>
      <c r="H11" s="40">
        <f>COUNTA('Feature discovery'!$A$4:$A$179)-COUNTIF('Feature discovery'!$S$4:$S$179,"Traced*")-COUNTIF('Feature discovery'!$S$4:$S$179,"NEW INSIGHT")</f>
        <v/>
      </c>
      <c r="I11" s="40">
        <f>IF(H11=0,"PASS","FAIL")</f>
        <v/>
      </c>
    </row>
    <row r="12" ht="34" customHeight="1">
      <c r="B12" s="40" t="inlineStr">
        <is>
          <t>Go deeper</t>
        </is>
      </c>
      <c r="C12" s="40" t="inlineStr">
        <is>
          <t>Find what competitors lack and argue why it matters</t>
        </is>
      </c>
      <c r="D12" s="40" t="inlineStr">
        <is>
          <t>SEC-07</t>
        </is>
      </c>
      <c r="E12" s="40">
        <f>INDEX(Tree!$C$2:$C$170,MATCH(D12,Tree!$B$2:$B$170,0))</f>
        <v/>
      </c>
      <c r="F12" s="40">
        <f>COUNTIFS(Tree!$B$2:$B$170,D12,Tree!$E$2:$E$170,2)+COUNTIFS(Tree!$B$2:$B$170,D12,Tree!$E$2:$E$170,3)</f>
        <v/>
      </c>
      <c r="G12" s="40" t="inlineStr">
        <is>
          <t>Not checked by a formula: needs a person to judge the arguments</t>
        </is>
      </c>
      <c r="H12" s="40" t="n"/>
      <c r="I12" s="40" t="inlineStr">
        <is>
          <t>person</t>
        </is>
      </c>
    </row>
    <row r="13" ht="34" customHeight="1">
      <c r="B13" s="40" t="inlineStr">
        <is>
          <t>Not in the playbook row</t>
        </is>
      </c>
      <c r="C13" s="40" t="inlineStr">
        <is>
          <t>Context of the study (product, method, version, date)</t>
        </is>
      </c>
      <c r="D13" s="40" t="inlineStr">
        <is>
          <t>SEC-01</t>
        </is>
      </c>
      <c r="E13" s="40">
        <f>INDEX(Tree!$C$2:$C$170,MATCH(D13,Tree!$B$2:$B$170,0))</f>
        <v/>
      </c>
      <c r="F13" s="40">
        <f>COUNTIFS(Tree!$B$2:$B$170,D13,Tree!$E$2:$E$170,2)+COUNTIFS(Tree!$B$2:$B$170,D13,Tree!$E$2:$E$170,3)</f>
        <v/>
      </c>
      <c r="G13" s="40" t="inlineStr">
        <is>
          <t>Added so the study can be repeated</t>
        </is>
      </c>
      <c r="H13" s="40" t="n"/>
      <c r="I13" s="40" t="inlineStr">
        <is>
          <t>person</t>
        </is>
      </c>
    </row>
    <row r="14" ht="34" customHeight="1">
      <c r="B14" s="40" t="inlineStr">
        <is>
          <t>Not in the playbook row</t>
        </is>
      </c>
      <c r="C14" s="40" t="inlineStr">
        <is>
          <t>Review, review, review loop (Subramanian's transcript)</t>
        </is>
      </c>
      <c r="D14" s="40" t="inlineStr">
        <is>
          <t>SEC-08</t>
        </is>
      </c>
      <c r="E14" s="40">
        <f>INDEX(Tree!$C$2:$C$170,MATCH(D14,Tree!$B$2:$B$170,0))</f>
        <v/>
      </c>
      <c r="F14" s="40">
        <f>COUNTIFS(Tree!$B$2:$B$170,D14,Tree!$E$2:$E$170,2)+COUNTIFS(Tree!$B$2:$B$170,D14,Tree!$E$2:$E$170,3)</f>
        <v/>
      </c>
      <c r="G14" s="40" t="inlineStr">
        <is>
          <t>Added from the transcript</t>
        </is>
      </c>
      <c r="H14" s="40" t="n"/>
      <c r="I14" s="40" t="inlineStr">
        <is>
          <t>person</t>
        </is>
      </c>
    </row>
    <row r="17">
      <c r="B17" s="42" t="inlineStr">
        <is>
          <t>The checks read the Feature discovery, Coverage matrix and Competitors sheets, so they test the data, not just the schema.</t>
        </is>
      </c>
    </row>
    <row r="18">
      <c r="B18" s="23" t="inlineStr">
        <is>
          <t>Step 04 NFR Discovery: playbook map</t>
        </is>
      </c>
    </row>
    <row r="19">
      <c r="B19" s="24" t="inlineStr">
        <is>
          <t>Playbook column</t>
        </is>
      </c>
      <c r="C19" s="24" t="inlineStr">
        <is>
          <t>Playbook words</t>
        </is>
      </c>
      <c r="D19" s="24" t="inlineStr">
        <is>
          <t>Section ID</t>
        </is>
      </c>
      <c r="E19" s="24" t="inlineStr">
        <is>
          <t>Section</t>
        </is>
      </c>
      <c r="F19" s="24" t="inlineStr">
        <is>
          <t>Parameters (L2+L3)</t>
        </is>
      </c>
      <c r="G19" s="24" t="inlineStr">
        <is>
          <t>Live check</t>
        </is>
      </c>
      <c r="H19" s="24" t="inlineStr">
        <is>
          <t>Value</t>
        </is>
      </c>
      <c r="I19" s="24" t="inlineStr">
        <is>
          <t>Result</t>
        </is>
      </c>
    </row>
    <row r="20" ht="40" customHeight="1">
      <c r="B20" s="40" t="inlineStr">
        <is>
          <t>Purpose</t>
        </is>
      </c>
      <c r="C20" s="40" t="inlineStr">
        <is>
          <t>Fix measurable quality targets before the design locks them out</t>
        </is>
      </c>
      <c r="D20" s="40" t="inlineStr">
        <is>
          <t>SEC-10</t>
        </is>
      </c>
      <c r="E20" s="40">
        <f>INDEX(Tree!$C$2:$C$170,MATCH(D20,Tree!$B$2:$B$170,0))</f>
        <v/>
      </c>
      <c r="F20" s="40">
        <f>COUNTIFS(Tree!$B$2:$B$170,D20,Tree!$E$2:$E$170,2)+COUNTIFS(Tree!$B$2:$B$170,D20,Tree!$E$2:$E$170,3)</f>
        <v/>
      </c>
      <c r="G20" s="40" t="inlineStr">
        <is>
          <t>Approved NFRs with a target recorded (needs 1 or more)</t>
        </is>
      </c>
      <c r="H20" s="40">
        <f>COUNTIFS('NFR register'!$K$4:$K$29,"Set",'NFR register'!$R$4:$R$29,"&lt;&gt;Proposed")</f>
        <v/>
      </c>
      <c r="I20" s="40">
        <f>IF(H20&gt;=1,"PASS","FAIL")</f>
        <v/>
      </c>
    </row>
    <row r="21" ht="40" customHeight="1">
      <c r="B21" s="40" t="inlineStr">
        <is>
          <t>Do</t>
        </is>
      </c>
      <c r="C21" s="40" t="inlineStr">
        <is>
          <t>Set targets for scale, response time, availability, security, privacy, compliance and accessibility</t>
        </is>
      </c>
      <c r="D21" s="40" t="inlineStr">
        <is>
          <t>SEC-09</t>
        </is>
      </c>
      <c r="E21" s="40">
        <f>INDEX(Tree!$C$2:$C$170,MATCH(D21,Tree!$B$2:$B$170,0))</f>
        <v/>
      </c>
      <c r="F21" s="40">
        <f>COUNTIFS(Tree!$B$2:$B$170,D21,Tree!$E$2:$E$170,2)+COUNTIFS(Tree!$B$2:$B$170,D21,Tree!$E$2:$E$170,3)</f>
        <v/>
      </c>
      <c r="G21" s="40" t="inlineStr">
        <is>
          <t>Of those 7 areas, how many have no approved NFR (needs 0)</t>
        </is>
      </c>
      <c r="H21" s="40">
        <f>(COUNTIFS('NFR register'!$C$4:$C$29,"Scale",'NFR register'!$R$4:$R$29,"&lt;&gt;Proposed")=0)+(COUNTIFS('NFR register'!$C$4:$C$29,"Performance",'NFR register'!$R$4:$R$29,"&lt;&gt;Proposed")=0)+(COUNTIFS('NFR register'!$C$4:$C$29,"Availability and recovery",'NFR register'!$R$4:$R$29,"&lt;&gt;Proposed")=0)+(COUNTIFS('NFR register'!$C$4:$C$29,"Security",'NFR register'!$R$4:$R$29,"&lt;&gt;Proposed")=0)+(COUNTIFS('NFR register'!$C$4:$C$29,"Privacy",'NFR register'!$R$4:$R$29,"&lt;&gt;Proposed")=0)+(COUNTIFS('NFR register'!$C$4:$C$29,"Compliance",'NFR register'!$R$4:$R$29,"&lt;&gt;Proposed")=0)+(COUNTIFS('NFR register'!$C$4:$C$29,"Accessibility",'NFR register'!$R$4:$R$29,"&lt;&gt;Proposed")=0)</f>
        <v/>
      </c>
      <c r="I21" s="40">
        <f>IF(H21=0,"PASS","FAIL")</f>
        <v/>
      </c>
    </row>
    <row r="22" ht="40" customHeight="1">
      <c r="B22" s="40" t="inlineStr">
        <is>
          <t>Produce</t>
        </is>
      </c>
      <c r="C22" s="40" t="inlineStr">
        <is>
          <t>NFR register: ID, metric, target, how it is measured</t>
        </is>
      </c>
      <c r="D22" s="40" t="inlineStr">
        <is>
          <t>SEC-11</t>
        </is>
      </c>
      <c r="E22" s="40">
        <f>INDEX(Tree!$C$2:$C$170,MATCH(D22,Tree!$B$2:$B$170,0))</f>
        <v/>
      </c>
      <c r="F22" s="40">
        <f>COUNTIFS(Tree!$B$2:$B$170,D22,Tree!$E$2:$E$170,2)+COUNTIFS(Tree!$B$2:$B$170,D22,Tree!$E$2:$E$170,3)</f>
        <v/>
      </c>
      <c r="G22" s="40" t="inlineStr">
        <is>
          <t>Approved NFRs in the register</t>
        </is>
      </c>
      <c r="H22" s="40">
        <f>COUNTIFS('NFR register'!$R$4:$R$29,"&lt;&gt;Proposed")</f>
        <v/>
      </c>
      <c r="I22" s="40">
        <f>IF(H22&gt;=1,"PASS","FAIL")</f>
        <v/>
      </c>
    </row>
    <row r="23" ht="40" customHeight="1">
      <c r="B23" s="40" t="inlineStr">
        <is>
          <t>Done when</t>
        </is>
      </c>
      <c r="C23" s="40" t="inlineStr">
        <is>
          <t>Every NFR has a number ...</t>
        </is>
      </c>
      <c r="D23" s="40" t="inlineStr">
        <is>
          <t>SEC-10</t>
        </is>
      </c>
      <c r="E23" s="40">
        <f>INDEX(Tree!$C$2:$C$170,MATCH(D23,Tree!$B$2:$B$170,0))</f>
        <v/>
      </c>
      <c r="F23" s="40">
        <f>COUNTIFS(Tree!$B$2:$B$170,D23,Tree!$E$2:$E$170,2)+COUNTIFS(Tree!$B$2:$B$170,D23,Tree!$E$2:$E$170,3)</f>
        <v/>
      </c>
      <c r="G23" s="40" t="inlineStr">
        <is>
          <t>Approved NFRs without a numeric target (needs 0)</t>
        </is>
      </c>
      <c r="H23" s="40">
        <f>COUNTIFS('NFR register'!$R$4:$R$29,"&lt;&gt;Proposed")-COUNTIFS('NFR register'!$I$4:$I$29,"&lt;&gt;",'NFR register'!$R$4:$R$29,"&lt;&gt;Proposed")</f>
        <v/>
      </c>
      <c r="I23" s="40">
        <f>IF(H23=0,"PASS","FAIL")</f>
        <v/>
      </c>
    </row>
    <row r="24" ht="40" customHeight="1">
      <c r="B24" s="40" t="inlineStr">
        <is>
          <t>Done when</t>
        </is>
      </c>
      <c r="C24" s="40" t="inlineStr">
        <is>
          <t>... and a test method</t>
        </is>
      </c>
      <c r="D24" s="40" t="inlineStr">
        <is>
          <t>SEC-11</t>
        </is>
      </c>
      <c r="E24" s="40">
        <f>INDEX(Tree!$C$2:$C$170,MATCH(D24,Tree!$B$2:$B$170,0))</f>
        <v/>
      </c>
      <c r="F24" s="40">
        <f>COUNTIFS(Tree!$B$2:$B$170,D24,Tree!$E$2:$E$170,2)+COUNTIFS(Tree!$B$2:$B$170,D24,Tree!$E$2:$E$170,3)</f>
        <v/>
      </c>
      <c r="G24" s="40" t="inlineStr">
        <is>
          <t>Approved NFRs without a test method (needs 0)</t>
        </is>
      </c>
      <c r="H24" s="40">
        <f>COUNTIFS('NFR register'!$M$4:$M$29,"Not yet defined",'NFR register'!$R$4:$R$29,"&lt;&gt;Proposed")</f>
        <v/>
      </c>
      <c r="I24" s="40">
        <f>IF(H24=0,"PASS","FAIL")</f>
        <v/>
      </c>
    </row>
    <row r="25" ht="40" customHeight="1">
      <c r="B25" s="40" t="inlineStr">
        <is>
          <t>Go deeper</t>
        </is>
      </c>
      <c r="C25" s="40" t="inlineStr">
        <is>
          <t>Derive targets from volumes, not guesses</t>
        </is>
      </c>
      <c r="D25" s="40" t="inlineStr">
        <is>
          <t>SEC-12</t>
        </is>
      </c>
      <c r="E25" s="40">
        <f>INDEX(Tree!$C$2:$C$170,MATCH(D25,Tree!$B$2:$B$170,0))</f>
        <v/>
      </c>
      <c r="F25" s="40">
        <f>COUNTIFS(Tree!$B$2:$B$170,D25,Tree!$E$2:$E$170,2)+COUNTIFS(Tree!$B$2:$B$170,D25,Tree!$E$2:$E$170,3)</f>
        <v/>
      </c>
      <c r="G25" s="40" t="inlineStr">
        <is>
          <t>Approved NFRs with no derivation recorded (needs 0)</t>
        </is>
      </c>
      <c r="H25" s="40">
        <f>COUNTIFS('NFR register'!$O$4:$O$29,"Not yet derived",'NFR register'!$R$4:$R$29,"&lt;&gt;Proposed")</f>
        <v/>
      </c>
      <c r="I25" s="40">
        <f>IF(H25=0,"PASS","FAIL")</f>
        <v/>
      </c>
    </row>
    <row r="26" ht="40" customHeight="1">
      <c r="B26" s="40" t="inlineStr">
        <is>
          <t>Go deeper</t>
        </is>
      </c>
      <c r="C26" s="40" t="inlineStr">
        <is>
          <t>Name the regulations that apply, such as the DPDP Act 2023</t>
        </is>
      </c>
      <c r="D26" s="40" t="inlineStr">
        <is>
          <t>SEC-12</t>
        </is>
      </c>
      <c r="E26" s="40">
        <f>INDEX(Tree!$C$2:$C$170,MATCH(D26,Tree!$B$2:$B$170,0))</f>
        <v/>
      </c>
      <c r="F26" s="40">
        <f>COUNTIFS(Tree!$B$2:$B$170,D26,Tree!$E$2:$E$170,2)+COUNTIFS(Tree!$B$2:$B$170,D26,Tree!$E$2:$E$170,3)</f>
        <v/>
      </c>
      <c r="G26" s="40" t="inlineStr">
        <is>
          <t>Approved NFRs that name a regulation (needs 1 or more)</t>
        </is>
      </c>
      <c r="H26" s="40">
        <f>COUNTIFS('NFR register'!$Q$4:$Q$29,"?*",'NFR register'!$R$4:$R$29,"&lt;&gt;Proposed")</f>
        <v/>
      </c>
      <c r="I26" s="40">
        <f>IF(H26&gt;=1,"PASS","FAIL")</f>
        <v/>
      </c>
    </row>
    <row r="30">
      <c r="B30" s="42" t="inlineStr">
        <is>
          <t>Step 04 results are meant to show the gaps: a FAIL here is something still to fix in the NFR register, not a fault in the schema.</t>
        </is>
      </c>
    </row>
    <row r="32">
      <c r="B32" s="23" t="inlineStr">
        <is>
          <t>Step 01 Requirement Analysis Docket: playbook map</t>
        </is>
      </c>
    </row>
    <row r="33">
      <c r="B33" s="24" t="inlineStr">
        <is>
          <t>Playbook column</t>
        </is>
      </c>
      <c r="C33" s="24" t="inlineStr">
        <is>
          <t>Playbook words</t>
        </is>
      </c>
      <c r="D33" s="24" t="inlineStr">
        <is>
          <t>Section ID</t>
        </is>
      </c>
      <c r="E33" s="24" t="inlineStr">
        <is>
          <t>Section</t>
        </is>
      </c>
      <c r="F33" s="24" t="inlineStr">
        <is>
          <t>Parameters (L2+L3)</t>
        </is>
      </c>
      <c r="G33" s="24" t="inlineStr">
        <is>
          <t>Live check</t>
        </is>
      </c>
      <c r="H33" s="24" t="inlineStr">
        <is>
          <t>Value</t>
        </is>
      </c>
      <c r="I33" s="24" t="inlineStr">
        <is>
          <t>Result</t>
        </is>
      </c>
    </row>
    <row r="34" ht="40" customHeight="1">
      <c r="B34" s="40" t="inlineStr">
        <is>
          <t>Purpose</t>
        </is>
      </c>
      <c r="C34" s="40" t="inlineStr">
        <is>
          <t>Turn the raw brief into a structured, unambiguous problem statement</t>
        </is>
      </c>
      <c r="D34" s="40" t="inlineStr">
        <is>
          <t>SEC-14</t>
        </is>
      </c>
      <c r="E34" s="40">
        <f>INDEX(Tree!$C$2:$C$170,MATCH(D34,Tree!$B$2:$B$170,0))</f>
        <v/>
      </c>
      <c r="F34" s="40">
        <f>COUNTIFS(Tree!$B$2:$B$170,D34,Tree!$E$2:$E$170,2)+COUNTIFS(Tree!$B$2:$B$170,D34,Tree!$E$2:$E$170,3)</f>
        <v/>
      </c>
      <c r="G34" s="40" t="inlineStr">
        <is>
          <t>Requirements recorded (needs 1 or more)</t>
        </is>
      </c>
      <c r="H34" s="40">
        <f>COUNTA('Requirements'!$A$4:$A$111)</f>
        <v/>
      </c>
      <c r="I34" s="40">
        <f>IF(H34&gt;=1,"PASS","FAIL")</f>
        <v/>
      </c>
    </row>
    <row r="35" ht="40" customHeight="1">
      <c r="B35" s="40" t="inlineStr">
        <is>
          <t>Do</t>
        </is>
      </c>
      <c r="C35" s="40" t="inlineStr">
        <is>
          <t>Split the brief into goals, scope, out-of-scope, assumptions and open questions</t>
        </is>
      </c>
      <c r="D35" s="40" t="inlineStr">
        <is>
          <t>SEC-18</t>
        </is>
      </c>
      <c r="E35" s="40">
        <f>INDEX(Tree!$C$2:$C$170,MATCH(D35,Tree!$B$2:$B$170,0))</f>
        <v/>
      </c>
      <c r="F35" s="40">
        <f>COUNTIFS(Tree!$B$2:$B$170,D35,Tree!$E$2:$E$170,2)+COUNTIFS(Tree!$B$2:$B$170,D35,Tree!$E$2:$E$170,3)</f>
        <v/>
      </c>
      <c r="G35" s="40" t="inlineStr">
        <is>
          <t>Of those 5 line types, how many have no line (needs 0)</t>
        </is>
      </c>
      <c r="H35" s="40">
        <f>(COUNTIF('Scope lines'!$C$4:$C$22,"Goal")=0)+(COUNTIF('Scope lines'!$C$4:$C$22,"In scope")=0)+(COUNTIF('Scope lines'!$C$4:$C$22,"Out of scope")=0)+(COUNTIF('Scope lines'!$C$4:$C$22,"Assumption")=0)+(COUNTIF('Scope lines'!$C$4:$C$22,"Open question")=0)</f>
        <v/>
      </c>
      <c r="I35" s="40">
        <f>IF(H35=0,"PASS","FAIL")</f>
        <v/>
      </c>
    </row>
    <row r="36" ht="40" customHeight="1">
      <c r="B36" s="40" t="inlineStr">
        <is>
          <t>Do</t>
        </is>
      </c>
      <c r="C36" s="40" t="inlineStr">
        <is>
          <t>Give every requirement an ID</t>
        </is>
      </c>
      <c r="D36" s="40" t="inlineStr">
        <is>
          <t>SEC-14</t>
        </is>
      </c>
      <c r="E36" s="40">
        <f>INDEX(Tree!$C$2:$C$170,MATCH(D36,Tree!$B$2:$B$170,0))</f>
        <v/>
      </c>
      <c r="F36" s="40">
        <f>COUNTIFS(Tree!$B$2:$B$170,D36,Tree!$E$2:$E$170,2)+COUNTIFS(Tree!$B$2:$B$170,D36,Tree!$E$2:$E$170,3)</f>
        <v/>
      </c>
      <c r="G36" s="40" t="inlineStr">
        <is>
          <t>Requirements with no ID or a repeated ID (needs 0)</t>
        </is>
      </c>
      <c r="H36" s="40">
        <f>COUNTA('Requirements'!$D$4:$D$111)-COUNTA('Requirements'!$A$4:$A$111)+SUMPRODUCT(--(COUNTIF('Requirements'!$A$4:$A$111,'Requirements'!$A$4:$A$111)&gt;1))</f>
        <v/>
      </c>
      <c r="I36" s="40">
        <f>IF(H36=0,"PASS","FAIL")</f>
        <v/>
      </c>
    </row>
    <row r="37" ht="40" customHeight="1">
      <c r="B37" s="40" t="inlineStr">
        <is>
          <t>Produce</t>
        </is>
      </c>
      <c r="C37" s="40" t="inlineStr">
        <is>
          <t>Requirements docket: ID, statement, source ...</t>
        </is>
      </c>
      <c r="D37" s="40" t="inlineStr">
        <is>
          <t>SEC-15</t>
        </is>
      </c>
      <c r="E37" s="40">
        <f>INDEX(Tree!$C$2:$C$170,MATCH(D37,Tree!$B$2:$B$170,0))</f>
        <v/>
      </c>
      <c r="F37" s="40">
        <f>COUNTIFS(Tree!$B$2:$B$170,D37,Tree!$E$2:$E$170,2)+COUNTIFS(Tree!$B$2:$B$170,D37,Tree!$E$2:$E$170,3)</f>
        <v/>
      </c>
      <c r="G37" s="40" t="inlineStr">
        <is>
          <t>Requirements with no source recorded (needs 0)</t>
        </is>
      </c>
      <c r="H37" s="40">
        <f>COUNTA('Requirements'!$A$4:$A$111)-COUNTIFS('Requirements'!$E$4:$E$111,"&lt;&gt;Not recorded",'Requirements'!$E$4:$E$111,"&lt;&gt;")</f>
        <v/>
      </c>
      <c r="I37" s="40">
        <f>IF(H37=0,"PASS","FAIL")</f>
        <v/>
      </c>
    </row>
    <row r="38" ht="40" customHeight="1">
      <c r="B38" s="40" t="inlineStr">
        <is>
          <t>Produce</t>
        </is>
      </c>
      <c r="C38" s="40" t="inlineStr">
        <is>
          <t>... priority ...</t>
        </is>
      </c>
      <c r="D38" s="40" t="inlineStr">
        <is>
          <t>SEC-16</t>
        </is>
      </c>
      <c r="E38" s="40">
        <f>INDEX(Tree!$C$2:$C$170,MATCH(D38,Tree!$B$2:$B$170,0))</f>
        <v/>
      </c>
      <c r="F38" s="40">
        <f>COUNTIFS(Tree!$B$2:$B$170,D38,Tree!$E$2:$E$170,2)+COUNTIFS(Tree!$B$2:$B$170,D38,Tree!$E$2:$E$170,3)</f>
        <v/>
      </c>
      <c r="G38" s="40" t="inlineStr">
        <is>
          <t>Requirements with no priority (needs 0)</t>
        </is>
      </c>
      <c r="H38" s="40">
        <f>COUNTA('Requirements'!$A$4:$A$111)-COUNTA('Requirements'!$H$4:$H$111)</f>
        <v/>
      </c>
      <c r="I38" s="40">
        <f>IF(H38=0,"PASS","FAIL")</f>
        <v/>
      </c>
    </row>
    <row r="39" ht="40" customHeight="1">
      <c r="B39" s="40" t="inlineStr">
        <is>
          <t>Produce</t>
        </is>
      </c>
      <c r="C39" s="40" t="inlineStr">
        <is>
          <t>... ambiguity notes</t>
        </is>
      </c>
      <c r="D39" s="40" t="inlineStr">
        <is>
          <t>SEC-16</t>
        </is>
      </c>
      <c r="E39" s="40">
        <f>INDEX(Tree!$C$2:$C$170,MATCH(D39,Tree!$B$2:$B$170,0))</f>
        <v/>
      </c>
      <c r="F39" s="40">
        <f>COUNTIFS(Tree!$B$2:$B$170,D39,Tree!$E$2:$E$170,2)+COUNTIFS(Tree!$B$2:$B$170,D39,Tree!$E$2:$E$170,3)</f>
        <v/>
      </c>
      <c r="G39" s="40" t="inlineStr">
        <is>
          <t>Requirements with an ambiguity note (information only)</t>
        </is>
      </c>
      <c r="H39" s="40">
        <f>COUNTA('Requirements'!$J$4:$J$111)</f>
        <v/>
      </c>
      <c r="I39" s="40" t="inlineStr">
        <is>
          <t>info</t>
        </is>
      </c>
    </row>
    <row r="40" ht="40" customHeight="1">
      <c r="B40" s="40" t="inlineStr">
        <is>
          <t>Done when</t>
        </is>
      </c>
      <c r="C40" s="40" t="inlineStr">
        <is>
          <t>Every sentence of the brief maps to a requirement ID or an explicit out-of-scope line</t>
        </is>
      </c>
      <c r="D40" s="40" t="inlineStr">
        <is>
          <t>SEC-18</t>
        </is>
      </c>
      <c r="E40" s="40">
        <f>INDEX(Tree!$C$2:$C$170,MATCH(D40,Tree!$B$2:$B$170,0))</f>
        <v/>
      </c>
      <c r="F40" s="40">
        <f>COUNTIFS(Tree!$B$2:$B$170,D40,Tree!$E$2:$E$170,2)+COUNTIFS(Tree!$B$2:$B$170,D40,Tree!$E$2:$E$170,3)</f>
        <v/>
      </c>
      <c r="G40" s="40" t="inlineStr">
        <is>
          <t>Needs the original brief: a person checks</t>
        </is>
      </c>
      <c r="H40" s="40" t="n"/>
      <c r="I40" s="40" t="inlineStr">
        <is>
          <t>person</t>
        </is>
      </c>
    </row>
    <row r="41" ht="40" customHeight="1">
      <c r="B41" s="40" t="inlineStr">
        <is>
          <t>Exit gate G1</t>
        </is>
      </c>
      <c r="C41" s="40" t="inlineStr">
        <is>
          <t>Every requirement has an ID and an actor</t>
        </is>
      </c>
      <c r="D41" s="40" t="inlineStr">
        <is>
          <t>SEC-15</t>
        </is>
      </c>
      <c r="E41" s="40">
        <f>INDEX(Tree!$C$2:$C$170,MATCH(D41,Tree!$B$2:$B$170,0))</f>
        <v/>
      </c>
      <c r="F41" s="40">
        <f>COUNTIFS(Tree!$B$2:$B$170,D41,Tree!$E$2:$E$170,2)+COUNTIFS(Tree!$B$2:$B$170,D41,Tree!$E$2:$E$170,3)</f>
        <v/>
      </c>
      <c r="G41" s="40" t="inlineStr">
        <is>
          <t>Requirements with no actor (needs 0)</t>
        </is>
      </c>
      <c r="H41" s="40">
        <f>COUNTA('Requirements'!$A$4:$A$111)-COUNTA('Requirements'!$G$4:$G$111)</f>
        <v/>
      </c>
      <c r="I41" s="40">
        <f>IF(H41=0,"PASS","FAIL")</f>
        <v/>
      </c>
    </row>
    <row r="42" ht="40" customHeight="1">
      <c r="B42" s="40" t="inlineStr">
        <is>
          <t>Go deeper</t>
        </is>
      </c>
      <c r="C42" s="40" t="inlineStr">
        <is>
          <t>Rank open questions by design impact</t>
        </is>
      </c>
      <c r="D42" s="40" t="inlineStr">
        <is>
          <t>SEC-18</t>
        </is>
      </c>
      <c r="E42" s="40">
        <f>INDEX(Tree!$C$2:$C$170,MATCH(D42,Tree!$B$2:$B$170,0))</f>
        <v/>
      </c>
      <c r="F42" s="40">
        <f>COUNTIFS(Tree!$B$2:$B$170,D42,Tree!$E$2:$E$170,2)+COUNTIFS(Tree!$B$2:$B$170,D42,Tree!$E$2:$E$170,3)</f>
        <v/>
      </c>
      <c r="G42" s="40" t="inlineStr">
        <is>
          <t>Open questions recorded (needs 1 or more; the ranking itself is not recorded)</t>
        </is>
      </c>
      <c r="H42" s="40">
        <f>COUNTIF('Scope lines'!$C$4:$C$22,"Open question")</f>
        <v/>
      </c>
      <c r="I42" s="40">
        <f>IF(H42&gt;=1,"PASS","FAIL")</f>
        <v/>
      </c>
    </row>
    <row r="44">
      <c r="B44" s="42" t="inlineStr">
        <is>
          <t>Step 01 results are meant to show the gaps: source and brief mapping need the original brief.</t>
        </is>
      </c>
    </row>
  </sheetData>
  <conditionalFormatting sqref="I5:I14">
    <cfRule type="cellIs" priority="1" operator="equal" dxfId="0">
      <formula>"PASS"</formula>
    </cfRule>
    <cfRule type="cellIs" priority="2" operator="equal" dxfId="1">
      <formula>"FAIL"</formula>
    </cfRule>
  </conditionalFormatting>
  <conditionalFormatting sqref="I20:I26">
    <cfRule type="cellIs" priority="3" operator="equal" dxfId="0">
      <formula>"PASS"</formula>
    </cfRule>
    <cfRule type="cellIs" priority="4" operator="equal" dxfId="1">
      <formula>"FAIL"</formula>
    </cfRule>
  </conditionalFormatting>
  <conditionalFormatting sqref="I34:I42">
    <cfRule type="cellIs" priority="5" operator="equal" dxfId="0">
      <formula>"PASS"</formula>
    </cfRule>
    <cfRule type="cellIs" priority="6" operator="equal" dxfId="1">
      <formula>"FAIL"</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70"/>
  <sheetViews>
    <sheetView workbookViewId="0">
      <pane xSplit="7" ySplit="1" topLeftCell="H2" activePane="bottomRight" state="frozen"/>
      <selection pane="topRight"/>
      <selection pane="bottomLeft"/>
      <selection pane="bottomRight" activeCell="A1" sqref="A1"/>
    </sheetView>
  </sheetViews>
  <sheetFormatPr baseColWidth="8" defaultRowHeight="15"/>
  <cols>
    <col width="9" customWidth="1" min="1" max="1"/>
    <col width="10" customWidth="1" min="2" max="2"/>
    <col width="24" customWidth="1" min="3" max="3"/>
    <col width="8" customWidth="1" min="4" max="4"/>
    <col width="6" customWidth="1" min="5" max="5"/>
    <col width="9" customWidth="1" min="6" max="6"/>
    <col width="32" customWidth="1" min="7" max="7"/>
    <col width="52" customWidth="1" min="8" max="8"/>
    <col width="10" customWidth="1" min="9" max="9"/>
    <col width="10" customWidth="1" min="10" max="10"/>
    <col width="11" customWidth="1" min="11" max="11"/>
    <col width="30" customWidth="1" min="12" max="12"/>
    <col width="26" customWidth="1" min="13" max="13"/>
    <col width="18" customWidth="1" min="14" max="14"/>
    <col width="22" customWidth="1" min="15" max="15"/>
  </cols>
  <sheetData>
    <row r="1">
      <c r="A1" s="24" t="inlineStr">
        <is>
          <t>Deliverable</t>
        </is>
      </c>
      <c r="B1" s="24" t="inlineStr">
        <is>
          <t>Section ID</t>
        </is>
      </c>
      <c r="C1" s="24" t="inlineStr">
        <is>
          <t>Section</t>
        </is>
      </c>
      <c r="D1" s="24" t="inlineStr">
        <is>
          <t>Path id</t>
        </is>
      </c>
      <c r="E1" s="24" t="inlineStr">
        <is>
          <t>Level</t>
        </is>
      </c>
      <c r="F1" s="24" t="inlineStr">
        <is>
          <t>Level name</t>
        </is>
      </c>
      <c r="G1" s="24" t="inlineStr">
        <is>
          <t>Name</t>
        </is>
      </c>
      <c r="H1" s="24" t="inlineStr">
        <is>
          <t>Definition</t>
        </is>
      </c>
      <c r="I1" s="24" t="inlineStr">
        <is>
          <t>Data type</t>
        </is>
      </c>
      <c r="J1" s="24" t="inlineStr">
        <is>
          <t>Atomic or derived</t>
        </is>
      </c>
      <c r="K1" s="24" t="inlineStr">
        <is>
          <t>Required</t>
        </is>
      </c>
      <c r="L1" s="24" t="inlineStr">
        <is>
          <t>Allowed values</t>
        </is>
      </c>
      <c r="M1" s="24" t="inlineStr">
        <is>
          <t>Example</t>
        </is>
      </c>
      <c r="N1" s="24" t="inlineStr">
        <is>
          <t>Table</t>
        </is>
      </c>
      <c r="O1" s="24" t="inlineStr">
        <is>
          <t>Column</t>
        </is>
      </c>
    </row>
    <row r="2">
      <c r="A2" s="43" t="inlineStr">
        <is>
          <t>Step 03</t>
        </is>
      </c>
      <c r="B2" s="43" t="inlineStr">
        <is>
          <t>SEC-01</t>
        </is>
      </c>
      <c r="C2" s="43" t="inlineStr">
        <is>
          <t>Study Frame</t>
        </is>
      </c>
      <c r="D2" s="43" t="inlineStr">
        <is>
          <t>1</t>
        </is>
      </c>
      <c r="E2" s="43" t="n">
        <v>1</v>
      </c>
      <c r="F2" s="43" t="inlineStr">
        <is>
          <t>Macro</t>
        </is>
      </c>
      <c r="G2" s="43" t="inlineStr">
        <is>
          <t>Study Frame</t>
        </is>
      </c>
      <c r="H2" s="43" t="inlineStr">
        <is>
          <t>Which product the study is about and how the study was done, so it can be repeated.</t>
        </is>
      </c>
      <c r="I2" s="43" t="n"/>
      <c r="J2" s="43" t="n"/>
      <c r="K2" s="43" t="n"/>
      <c r="L2" s="43" t="n"/>
      <c r="M2" s="43" t="n"/>
      <c r="N2" s="43" t="inlineStr">
        <is>
          <t>study</t>
        </is>
      </c>
      <c r="O2" s="43" t="n"/>
    </row>
    <row r="3">
      <c r="A3" s="44" t="inlineStr">
        <is>
          <t>Step 03</t>
        </is>
      </c>
      <c r="B3" s="44" t="inlineStr">
        <is>
          <t>SEC-01</t>
        </is>
      </c>
      <c r="C3" s="44" t="inlineStr">
        <is>
          <t>Study Frame</t>
        </is>
      </c>
      <c r="D3" s="44" t="inlineStr">
        <is>
          <t>1.1</t>
        </is>
      </c>
      <c r="E3" s="44" t="n">
        <v>2</v>
      </c>
      <c r="F3" s="44" t="inlineStr">
        <is>
          <t>Micro</t>
        </is>
      </c>
      <c r="G3" s="45" t="inlineStr">
        <is>
          <t>Study identity</t>
        </is>
      </c>
      <c r="H3" s="44" t="inlineStr">
        <is>
          <t>Which product and which analysis stage this study belongs to.</t>
        </is>
      </c>
      <c r="I3" s="44" t="n"/>
      <c r="J3" s="44" t="n"/>
      <c r="K3" s="44" t="n"/>
      <c r="L3" s="44" t="n"/>
      <c r="M3" s="44" t="n"/>
      <c r="N3" s="44" t="inlineStr">
        <is>
          <t>study</t>
        </is>
      </c>
      <c r="O3" s="44" t="inlineStr">
        <is>
          <t>(3 columns)</t>
        </is>
      </c>
    </row>
    <row r="4">
      <c r="A4" s="46" t="inlineStr">
        <is>
          <t>Step 03</t>
        </is>
      </c>
      <c r="B4" s="46" t="inlineStr">
        <is>
          <t>SEC-01</t>
        </is>
      </c>
      <c r="C4" s="46" t="inlineStr">
        <is>
          <t>Study Frame</t>
        </is>
      </c>
      <c r="D4" s="46" t="inlineStr">
        <is>
          <t>1.1.1</t>
        </is>
      </c>
      <c r="E4" s="46" t="n">
        <v>3</v>
      </c>
      <c r="F4" s="46" t="inlineStr">
        <is>
          <t>Nano</t>
        </is>
      </c>
      <c r="G4" s="47" t="inlineStr">
        <is>
          <t>Study id</t>
        </is>
      </c>
      <c r="H4" s="46" t="inlineStr">
        <is>
          <t>One short code for this study.</t>
        </is>
      </c>
      <c r="I4" s="46" t="inlineStr">
        <is>
          <t>id</t>
        </is>
      </c>
      <c r="J4" s="46" t="inlineStr">
        <is>
          <t>atomic</t>
        </is>
      </c>
      <c r="K4" s="46" t="inlineStr">
        <is>
          <t>required</t>
        </is>
      </c>
      <c r="L4" s="46" t="inlineStr">
        <is>
          <t>unique, pattern FDS-nn</t>
        </is>
      </c>
      <c r="M4" s="46" t="inlineStr">
        <is>
          <t>FDS-01</t>
        </is>
      </c>
      <c r="N4" s="46" t="inlineStr">
        <is>
          <t>study</t>
        </is>
      </c>
      <c r="O4" s="46" t="inlineStr">
        <is>
          <t>study_id</t>
        </is>
      </c>
    </row>
    <row r="5">
      <c r="A5" s="46" t="inlineStr">
        <is>
          <t>Step 03</t>
        </is>
      </c>
      <c r="B5" s="46" t="inlineStr">
        <is>
          <t>SEC-01</t>
        </is>
      </c>
      <c r="C5" s="46" t="inlineStr">
        <is>
          <t>Study Frame</t>
        </is>
      </c>
      <c r="D5" s="46" t="inlineStr">
        <is>
          <t>1.1.2</t>
        </is>
      </c>
      <c r="E5" s="46" t="n">
        <v>3</v>
      </c>
      <c r="F5" s="46" t="inlineStr">
        <is>
          <t>Nano</t>
        </is>
      </c>
      <c r="G5" s="47" t="inlineStr">
        <is>
          <t>Product name</t>
        </is>
      </c>
      <c r="H5" s="46" t="inlineStr">
        <is>
          <t>The product the features are discovered for.</t>
        </is>
      </c>
      <c r="I5" s="46" t="inlineStr">
        <is>
          <t>text</t>
        </is>
      </c>
      <c r="J5" s="46" t="inlineStr">
        <is>
          <t>atomic</t>
        </is>
      </c>
      <c r="K5" s="46" t="inlineStr">
        <is>
          <t>required</t>
        </is>
      </c>
      <c r="L5" s="46" t="inlineStr">
        <is>
          <t>1 to 100 characters</t>
        </is>
      </c>
      <c r="M5" s="46" t="inlineStr">
        <is>
          <t>Talentra</t>
        </is>
      </c>
      <c r="N5" s="46" t="inlineStr">
        <is>
          <t>study</t>
        </is>
      </c>
      <c r="O5" s="46" t="inlineStr">
        <is>
          <t>product_name</t>
        </is>
      </c>
    </row>
    <row r="6">
      <c r="A6" s="46" t="inlineStr">
        <is>
          <t>Step 03</t>
        </is>
      </c>
      <c r="B6" s="46" t="inlineStr">
        <is>
          <t>SEC-01</t>
        </is>
      </c>
      <c r="C6" s="46" t="inlineStr">
        <is>
          <t>Study Frame</t>
        </is>
      </c>
      <c r="D6" s="46" t="inlineStr">
        <is>
          <t>1.1.3</t>
        </is>
      </c>
      <c r="E6" s="46" t="n">
        <v>3</v>
      </c>
      <c r="F6" s="46" t="inlineStr">
        <is>
          <t>Nano</t>
        </is>
      </c>
      <c r="G6" s="47" t="inlineStr">
        <is>
          <t>Stage</t>
        </is>
      </c>
      <c r="H6" s="46" t="inlineStr">
        <is>
          <t>Which analysis stage this study is.</t>
        </is>
      </c>
      <c r="I6" s="46" t="inlineStr">
        <is>
          <t>enum</t>
        </is>
      </c>
      <c r="J6" s="46" t="inlineStr">
        <is>
          <t>atomic</t>
        </is>
      </c>
      <c r="K6" s="46" t="inlineStr">
        <is>
          <t>required</t>
        </is>
      </c>
      <c r="L6" s="46" t="inlineStr">
        <is>
          <t>list: Stage</t>
        </is>
      </c>
      <c r="M6" s="46" t="inlineStr">
        <is>
          <t>03 Feature discovery</t>
        </is>
      </c>
      <c r="N6" s="46" t="inlineStr">
        <is>
          <t>study</t>
        </is>
      </c>
      <c r="O6" s="46" t="inlineStr">
        <is>
          <t>stage</t>
        </is>
      </c>
    </row>
    <row r="7">
      <c r="A7" s="44" t="inlineStr">
        <is>
          <t>Step 03</t>
        </is>
      </c>
      <c r="B7" s="44" t="inlineStr">
        <is>
          <t>SEC-01</t>
        </is>
      </c>
      <c r="C7" s="44" t="inlineStr">
        <is>
          <t>Study Frame</t>
        </is>
      </c>
      <c r="D7" s="44" t="inlineStr">
        <is>
          <t>1.2</t>
        </is>
      </c>
      <c r="E7" s="44" t="n">
        <v>2</v>
      </c>
      <c r="F7" s="44" t="inlineStr">
        <is>
          <t>Micro</t>
        </is>
      </c>
      <c r="G7" s="45" t="inlineStr">
        <is>
          <t>Study method</t>
        </is>
      </c>
      <c r="H7" s="44" t="inlineStr">
        <is>
          <t>How the discovery was done.</t>
        </is>
      </c>
      <c r="I7" s="44" t="n"/>
      <c r="J7" s="44" t="n"/>
      <c r="K7" s="44" t="n"/>
      <c r="L7" s="44" t="n"/>
      <c r="M7" s="44" t="n"/>
      <c r="N7" s="44" t="inlineStr">
        <is>
          <t>study</t>
        </is>
      </c>
      <c r="O7" s="44" t="inlineStr">
        <is>
          <t>(3 columns)</t>
        </is>
      </c>
    </row>
    <row r="8">
      <c r="A8" s="46" t="inlineStr">
        <is>
          <t>Step 03</t>
        </is>
      </c>
      <c r="B8" s="46" t="inlineStr">
        <is>
          <t>SEC-01</t>
        </is>
      </c>
      <c r="C8" s="46" t="inlineStr">
        <is>
          <t>Study Frame</t>
        </is>
      </c>
      <c r="D8" s="46" t="inlineStr">
        <is>
          <t>1.2.1</t>
        </is>
      </c>
      <c r="E8" s="46" t="n">
        <v>3</v>
      </c>
      <c r="F8" s="46" t="inlineStr">
        <is>
          <t>Nano</t>
        </is>
      </c>
      <c r="G8" s="47" t="inlineStr">
        <is>
          <t>Method type</t>
        </is>
      </c>
      <c r="H8" s="46" t="inlineStr">
        <is>
          <t>Whether people, one LLM or several LLMs did the discovery.</t>
        </is>
      </c>
      <c r="I8" s="46" t="inlineStr">
        <is>
          <t>enum</t>
        </is>
      </c>
      <c r="J8" s="46" t="inlineStr">
        <is>
          <t>atomic</t>
        </is>
      </c>
      <c r="K8" s="46" t="inlineStr">
        <is>
          <t>required</t>
        </is>
      </c>
      <c r="L8" s="46" t="inlineStr">
        <is>
          <t>list: MethodType</t>
        </is>
      </c>
      <c r="M8" s="46" t="inlineStr">
        <is>
          <t>LLM assisted</t>
        </is>
      </c>
      <c r="N8" s="46" t="inlineStr">
        <is>
          <t>study</t>
        </is>
      </c>
      <c r="O8" s="46" t="inlineStr">
        <is>
          <t>method_type</t>
        </is>
      </c>
    </row>
    <row r="9">
      <c r="A9" s="46" t="inlineStr">
        <is>
          <t>Step 03</t>
        </is>
      </c>
      <c r="B9" s="46" t="inlineStr">
        <is>
          <t>SEC-01</t>
        </is>
      </c>
      <c r="C9" s="46" t="inlineStr">
        <is>
          <t>Study Frame</t>
        </is>
      </c>
      <c r="D9" s="46" t="inlineStr">
        <is>
          <t>1.2.2</t>
        </is>
      </c>
      <c r="E9" s="46" t="n">
        <v>3</v>
      </c>
      <c r="F9" s="46" t="inlineStr">
        <is>
          <t>Nano</t>
        </is>
      </c>
      <c r="G9" s="47" t="inlineStr">
        <is>
          <t>Schema version</t>
        </is>
      </c>
      <c r="H9" s="46" t="inlineStr">
        <is>
          <t>The frozen version of this schema that the study follows.</t>
        </is>
      </c>
      <c r="I9" s="46" t="inlineStr">
        <is>
          <t>text</t>
        </is>
      </c>
      <c r="J9" s="46" t="inlineStr">
        <is>
          <t>atomic</t>
        </is>
      </c>
      <c r="K9" s="46" t="inlineStr">
        <is>
          <t>required</t>
        </is>
      </c>
      <c r="L9" s="46" t="inlineStr">
        <is>
          <t>pattern n.n</t>
        </is>
      </c>
      <c r="M9" s="46" t="inlineStr">
        <is>
          <t>1.0</t>
        </is>
      </c>
      <c r="N9" s="46" t="inlineStr">
        <is>
          <t>study</t>
        </is>
      </c>
      <c r="O9" s="46" t="inlineStr">
        <is>
          <t>schema_version</t>
        </is>
      </c>
    </row>
    <row r="10">
      <c r="A10" s="46" t="inlineStr">
        <is>
          <t>Step 03</t>
        </is>
      </c>
      <c r="B10" s="46" t="inlineStr">
        <is>
          <t>SEC-01</t>
        </is>
      </c>
      <c r="C10" s="46" t="inlineStr">
        <is>
          <t>Study Frame</t>
        </is>
      </c>
      <c r="D10" s="46" t="inlineStr">
        <is>
          <t>1.2.3</t>
        </is>
      </c>
      <c r="E10" s="46" t="n">
        <v>3</v>
      </c>
      <c r="F10" s="46" t="inlineStr">
        <is>
          <t>Nano</t>
        </is>
      </c>
      <c r="G10" s="47" t="inlineStr">
        <is>
          <t>Study date</t>
        </is>
      </c>
      <c r="H10" s="46" t="inlineStr">
        <is>
          <t>The day the study was recorded.</t>
        </is>
      </c>
      <c r="I10" s="46" t="inlineStr">
        <is>
          <t>date</t>
        </is>
      </c>
      <c r="J10" s="46" t="inlineStr">
        <is>
          <t>atomic</t>
        </is>
      </c>
      <c r="K10" s="46" t="inlineStr">
        <is>
          <t>required</t>
        </is>
      </c>
      <c r="L10" s="46" t="inlineStr">
        <is>
          <t>date, not in the future</t>
        </is>
      </c>
      <c r="M10" s="46" t="inlineStr">
        <is>
          <t>2026-10-21</t>
        </is>
      </c>
      <c r="N10" s="46" t="inlineStr">
        <is>
          <t>study</t>
        </is>
      </c>
      <c r="O10" s="46" t="inlineStr">
        <is>
          <t>study_date</t>
        </is>
      </c>
    </row>
    <row r="11">
      <c r="A11" s="43" t="inlineStr">
        <is>
          <t>Step 03</t>
        </is>
      </c>
      <c r="B11" s="43" t="inlineStr">
        <is>
          <t>SEC-02</t>
        </is>
      </c>
      <c r="C11" s="43" t="inlineStr">
        <is>
          <t>Competitors Studied</t>
        </is>
      </c>
      <c r="D11" s="43" t="inlineStr">
        <is>
          <t>2</t>
        </is>
      </c>
      <c r="E11" s="43" t="n">
        <v>1</v>
      </c>
      <c r="F11" s="43" t="inlineStr">
        <is>
          <t>Macro</t>
        </is>
      </c>
      <c r="G11" s="43" t="inlineStr">
        <is>
          <t>Competitors Studied</t>
        </is>
      </c>
      <c r="H11" s="43" t="inlineStr">
        <is>
          <t>The products we compare with. The gate needs at least three of them.</t>
        </is>
      </c>
      <c r="I11" s="43" t="n"/>
      <c r="J11" s="43" t="n"/>
      <c r="K11" s="43" t="n"/>
      <c r="L11" s="43" t="n"/>
      <c r="M11" s="43" t="n"/>
      <c r="N11" s="43" t="inlineStr">
        <is>
          <t>competitor</t>
        </is>
      </c>
      <c r="O11" s="43" t="n"/>
    </row>
    <row r="12">
      <c r="A12" s="44" t="inlineStr">
        <is>
          <t>Step 03</t>
        </is>
      </c>
      <c r="B12" s="44" t="inlineStr">
        <is>
          <t>SEC-02</t>
        </is>
      </c>
      <c r="C12" s="44" t="inlineStr">
        <is>
          <t>Competitors Studied</t>
        </is>
      </c>
      <c r="D12" s="44" t="inlineStr">
        <is>
          <t>2.1</t>
        </is>
      </c>
      <c r="E12" s="44" t="n">
        <v>2</v>
      </c>
      <c r="F12" s="44" t="inlineStr">
        <is>
          <t>Micro</t>
        </is>
      </c>
      <c r="G12" s="45" t="inlineStr">
        <is>
          <t>Competitor identity</t>
        </is>
      </c>
      <c r="H12" s="44" t="inlineStr">
        <is>
          <t>Which product it is and how much weight its answers carry.</t>
        </is>
      </c>
      <c r="I12" s="44" t="n"/>
      <c r="J12" s="44" t="n"/>
      <c r="K12" s="44" t="n"/>
      <c r="L12" s="44" t="n"/>
      <c r="M12" s="44" t="n"/>
      <c r="N12" s="44" t="inlineStr">
        <is>
          <t>competitor</t>
        </is>
      </c>
      <c r="O12" s="44" t="inlineStr">
        <is>
          <t>(4 columns)</t>
        </is>
      </c>
    </row>
    <row r="13">
      <c r="A13" s="46" t="inlineStr">
        <is>
          <t>Step 03</t>
        </is>
      </c>
      <c r="B13" s="46" t="inlineStr">
        <is>
          <t>SEC-02</t>
        </is>
      </c>
      <c r="C13" s="46" t="inlineStr">
        <is>
          <t>Competitors Studied</t>
        </is>
      </c>
      <c r="D13" s="46" t="inlineStr">
        <is>
          <t>2.1.1</t>
        </is>
      </c>
      <c r="E13" s="46" t="n">
        <v>3</v>
      </c>
      <c r="F13" s="46" t="inlineStr">
        <is>
          <t>Nano</t>
        </is>
      </c>
      <c r="G13" s="47" t="inlineStr">
        <is>
          <t>Competitor id</t>
        </is>
      </c>
      <c r="H13" s="46" t="inlineStr">
        <is>
          <t>One short code for the competitor.</t>
        </is>
      </c>
      <c r="I13" s="46" t="inlineStr">
        <is>
          <t>id</t>
        </is>
      </c>
      <c r="J13" s="46" t="inlineStr">
        <is>
          <t>atomic</t>
        </is>
      </c>
      <c r="K13" s="46" t="inlineStr">
        <is>
          <t>required</t>
        </is>
      </c>
      <c r="L13" s="46" t="inlineStr">
        <is>
          <t>unique, pattern COMP-nn</t>
        </is>
      </c>
      <c r="M13" s="46" t="inlineStr">
        <is>
          <t>COMP-03</t>
        </is>
      </c>
      <c r="N13" s="46" t="inlineStr">
        <is>
          <t>competitor</t>
        </is>
      </c>
      <c r="O13" s="46" t="inlineStr">
        <is>
          <t>competitor_id</t>
        </is>
      </c>
    </row>
    <row r="14">
      <c r="A14" s="46" t="inlineStr">
        <is>
          <t>Step 03</t>
        </is>
      </c>
      <c r="B14" s="46" t="inlineStr">
        <is>
          <t>SEC-02</t>
        </is>
      </c>
      <c r="C14" s="46" t="inlineStr">
        <is>
          <t>Competitors Studied</t>
        </is>
      </c>
      <c r="D14" s="46" t="inlineStr">
        <is>
          <t>2.1.2</t>
        </is>
      </c>
      <c r="E14" s="46" t="n">
        <v>3</v>
      </c>
      <c r="F14" s="46" t="inlineStr">
        <is>
          <t>Nano</t>
        </is>
      </c>
      <c r="G14" s="47" t="inlineStr">
        <is>
          <t>Competitor name</t>
        </is>
      </c>
      <c r="H14" s="46" t="inlineStr">
        <is>
          <t>The name of the competing product.</t>
        </is>
      </c>
      <c r="I14" s="46" t="inlineStr">
        <is>
          <t>text</t>
        </is>
      </c>
      <c r="J14" s="46" t="inlineStr">
        <is>
          <t>atomic</t>
        </is>
      </c>
      <c r="K14" s="46" t="inlineStr">
        <is>
          <t>required</t>
        </is>
      </c>
      <c r="L14" s="46" t="inlineStr">
        <is>
          <t>1 to 100 characters</t>
        </is>
      </c>
      <c r="M14" s="46" t="inlineStr">
        <is>
          <t>LinkedIn</t>
        </is>
      </c>
      <c r="N14" s="46" t="inlineStr">
        <is>
          <t>competitor</t>
        </is>
      </c>
      <c r="O14" s="46" t="inlineStr">
        <is>
          <t>competitor_name</t>
        </is>
      </c>
    </row>
    <row r="15">
      <c r="A15" s="46" t="inlineStr">
        <is>
          <t>Step 03</t>
        </is>
      </c>
      <c r="B15" s="46" t="inlineStr">
        <is>
          <t>SEC-02</t>
        </is>
      </c>
      <c r="C15" s="46" t="inlineStr">
        <is>
          <t>Competitors Studied</t>
        </is>
      </c>
      <c r="D15" s="46" t="inlineStr">
        <is>
          <t>2.1.3</t>
        </is>
      </c>
      <c r="E15" s="46" t="n">
        <v>3</v>
      </c>
      <c r="F15" s="46" t="inlineStr">
        <is>
          <t>Nano</t>
        </is>
      </c>
      <c r="G15" s="47" t="inlineStr">
        <is>
          <t>Product type</t>
        </is>
      </c>
      <c r="H15" s="46" t="inlineStr">
        <is>
          <t>What kind of product it is.</t>
        </is>
      </c>
      <c r="I15" s="46" t="inlineStr">
        <is>
          <t>enum</t>
        </is>
      </c>
      <c r="J15" s="46" t="inlineStr">
        <is>
          <t>atomic</t>
        </is>
      </c>
      <c r="K15" s="46" t="inlineStr">
        <is>
          <t>required</t>
        </is>
      </c>
      <c r="L15" s="46" t="inlineStr">
        <is>
          <t>list: ProductType</t>
        </is>
      </c>
      <c r="M15" s="46" t="inlineStr">
        <is>
          <t>Professional network</t>
        </is>
      </c>
      <c r="N15" s="46" t="inlineStr">
        <is>
          <t>competitor</t>
        </is>
      </c>
      <c r="O15" s="46" t="inlineStr">
        <is>
          <t>product_type</t>
        </is>
      </c>
    </row>
    <row r="16">
      <c r="A16" s="46" t="inlineStr">
        <is>
          <t>Step 03</t>
        </is>
      </c>
      <c r="B16" s="46" t="inlineStr">
        <is>
          <t>SEC-02</t>
        </is>
      </c>
      <c r="C16" s="46" t="inlineStr">
        <is>
          <t>Competitors Studied</t>
        </is>
      </c>
      <c r="D16" s="46" t="inlineStr">
        <is>
          <t>2.1.4</t>
        </is>
      </c>
      <c r="E16" s="46" t="n">
        <v>3</v>
      </c>
      <c r="F16" s="46" t="inlineStr">
        <is>
          <t>Nano</t>
        </is>
      </c>
      <c r="G16" s="47" t="inlineStr">
        <is>
          <t>Tier</t>
        </is>
      </c>
      <c r="H16" s="46" t="inlineStr">
        <is>
          <t>Leader, specialist or reference; only leaders count in the classification rule.</t>
        </is>
      </c>
      <c r="I16" s="46" t="inlineStr">
        <is>
          <t>enum</t>
        </is>
      </c>
      <c r="J16" s="46" t="inlineStr">
        <is>
          <t>atomic</t>
        </is>
      </c>
      <c r="K16" s="46" t="inlineStr">
        <is>
          <t>required</t>
        </is>
      </c>
      <c r="L16" s="46" t="inlineStr">
        <is>
          <t>list: Tier</t>
        </is>
      </c>
      <c r="M16" s="46" t="inlineStr">
        <is>
          <t>Leader</t>
        </is>
      </c>
      <c r="N16" s="46" t="inlineStr">
        <is>
          <t>competitor</t>
        </is>
      </c>
      <c r="O16" s="46" t="inlineStr">
        <is>
          <t>tier</t>
        </is>
      </c>
    </row>
    <row r="17">
      <c r="A17" s="44" t="inlineStr">
        <is>
          <t>Step 03</t>
        </is>
      </c>
      <c r="B17" s="44" t="inlineStr">
        <is>
          <t>SEC-02</t>
        </is>
      </c>
      <c r="C17" s="44" t="inlineStr">
        <is>
          <t>Competitors Studied</t>
        </is>
      </c>
      <c r="D17" s="44" t="inlineStr">
        <is>
          <t>2.2</t>
        </is>
      </c>
      <c r="E17" s="44" t="n">
        <v>2</v>
      </c>
      <c r="F17" s="44" t="inlineStr">
        <is>
          <t>Micro</t>
        </is>
      </c>
      <c r="G17" s="45" t="inlineStr">
        <is>
          <t>Study scope</t>
        </is>
      </c>
      <c r="H17" s="44" t="inlineStr">
        <is>
          <t>How much of the competitor was studied.</t>
        </is>
      </c>
      <c r="I17" s="44" t="n"/>
      <c r="J17" s="44" t="n"/>
      <c r="K17" s="44" t="n"/>
      <c r="L17" s="44" t="n"/>
      <c r="M17" s="44" t="n"/>
      <c r="N17" s="44" t="inlineStr">
        <is>
          <t>competitor</t>
        </is>
      </c>
      <c r="O17" s="44" t="inlineStr">
        <is>
          <t>(3 columns)</t>
        </is>
      </c>
    </row>
    <row r="18">
      <c r="A18" s="46" t="inlineStr">
        <is>
          <t>Step 03</t>
        </is>
      </c>
      <c r="B18" s="46" t="inlineStr">
        <is>
          <t>SEC-02</t>
        </is>
      </c>
      <c r="C18" s="46" t="inlineStr">
        <is>
          <t>Competitors Studied</t>
        </is>
      </c>
      <c r="D18" s="46" t="inlineStr">
        <is>
          <t>2.2.1</t>
        </is>
      </c>
      <c r="E18" s="46" t="n">
        <v>3</v>
      </c>
      <c r="F18" s="46" t="inlineStr">
        <is>
          <t>Nano</t>
        </is>
      </c>
      <c r="G18" s="47" t="inlineStr">
        <is>
          <t>Scope</t>
        </is>
      </c>
      <c r="H18" s="46" t="inlineStr">
        <is>
          <t>Whether the competitor is compared for general features or campus features only.</t>
        </is>
      </c>
      <c r="I18" s="46" t="inlineStr">
        <is>
          <t>enum</t>
        </is>
      </c>
      <c r="J18" s="46" t="inlineStr">
        <is>
          <t>atomic</t>
        </is>
      </c>
      <c r="K18" s="46" t="inlineStr">
        <is>
          <t>required</t>
        </is>
      </c>
      <c r="L18" s="46" t="inlineStr">
        <is>
          <t>list: StudyScope</t>
        </is>
      </c>
      <c r="M18" s="46" t="inlineStr">
        <is>
          <t>General</t>
        </is>
      </c>
      <c r="N18" s="46" t="inlineStr">
        <is>
          <t>competitor</t>
        </is>
      </c>
      <c r="O18" s="46" t="inlineStr">
        <is>
          <t>study_scope</t>
        </is>
      </c>
    </row>
    <row r="19">
      <c r="A19" s="46" t="inlineStr">
        <is>
          <t>Step 03</t>
        </is>
      </c>
      <c r="B19" s="46" t="inlineStr">
        <is>
          <t>SEC-02</t>
        </is>
      </c>
      <c r="C19" s="46" t="inlineStr">
        <is>
          <t>Competitors Studied</t>
        </is>
      </c>
      <c r="D19" s="46" t="inlineStr">
        <is>
          <t>2.2.2</t>
        </is>
      </c>
      <c r="E19" s="46" t="n">
        <v>3</v>
      </c>
      <c r="F19" s="46" t="inlineStr">
        <is>
          <t>Nano</t>
        </is>
      </c>
      <c r="G19" s="47" t="inlineStr">
        <is>
          <t>Pages studied</t>
        </is>
      </c>
      <c r="H19" s="46" t="inlineStr">
        <is>
          <t>How many pages of the competitor were read.</t>
        </is>
      </c>
      <c r="I19" s="46" t="inlineStr">
        <is>
          <t>integer</t>
        </is>
      </c>
      <c r="J19" s="46" t="inlineStr">
        <is>
          <t>atomic</t>
        </is>
      </c>
      <c r="K19" s="46" t="inlineStr">
        <is>
          <t>required</t>
        </is>
      </c>
      <c r="L19" s="46" t="inlineStr">
        <is>
          <t>0 or more</t>
        </is>
      </c>
      <c r="M19" s="46" t="inlineStr">
        <is>
          <t>14</t>
        </is>
      </c>
      <c r="N19" s="46" t="inlineStr">
        <is>
          <t>competitor</t>
        </is>
      </c>
      <c r="O19" s="46" t="inlineStr">
        <is>
          <t>pages_studied</t>
        </is>
      </c>
    </row>
    <row r="20">
      <c r="A20" s="46" t="inlineStr">
        <is>
          <t>Step 03</t>
        </is>
      </c>
      <c r="B20" s="46" t="inlineStr">
        <is>
          <t>SEC-02</t>
        </is>
      </c>
      <c r="C20" s="46" t="inlineStr">
        <is>
          <t>Competitors Studied</t>
        </is>
      </c>
      <c r="D20" s="46" t="inlineStr">
        <is>
          <t>2.2.3</t>
        </is>
      </c>
      <c r="E20" s="46" t="n">
        <v>3</v>
      </c>
      <c r="F20" s="46" t="inlineStr">
        <is>
          <t>Nano</t>
        </is>
      </c>
      <c r="G20" s="47" t="inlineStr">
        <is>
          <t>Access level</t>
        </is>
      </c>
      <c r="H20" s="46" t="inlineStr">
        <is>
          <t>Whether the pages could be read in full, only as a search summary, or not at all.</t>
        </is>
      </c>
      <c r="I20" s="46" t="inlineStr">
        <is>
          <t>enum</t>
        </is>
      </c>
      <c r="J20" s="46" t="inlineStr">
        <is>
          <t>atomic</t>
        </is>
      </c>
      <c r="K20" s="46" t="inlineStr">
        <is>
          <t>required</t>
        </is>
      </c>
      <c r="L20" s="46" t="inlineStr">
        <is>
          <t>list: PageAccess</t>
        </is>
      </c>
      <c r="M20" s="46" t="inlineStr">
        <is>
          <t>Read</t>
        </is>
      </c>
      <c r="N20" s="46" t="inlineStr">
        <is>
          <t>competitor</t>
        </is>
      </c>
      <c r="O20" s="46" t="inlineStr">
        <is>
          <t>access_level</t>
        </is>
      </c>
    </row>
    <row r="21">
      <c r="A21" s="44" t="inlineStr">
        <is>
          <t>Step 03</t>
        </is>
      </c>
      <c r="B21" s="44" t="inlineStr">
        <is>
          <t>SEC-02</t>
        </is>
      </c>
      <c r="C21" s="44" t="inlineStr">
        <is>
          <t>Competitors Studied</t>
        </is>
      </c>
      <c r="D21" s="44" t="inlineStr">
        <is>
          <t>2.3</t>
        </is>
      </c>
      <c r="E21" s="44" t="n">
        <v>2</v>
      </c>
      <c r="F21" s="44" t="inlineStr">
        <is>
          <t>Micro</t>
        </is>
      </c>
      <c r="G21" s="45" t="inlineStr">
        <is>
          <t>Verification</t>
        </is>
      </c>
      <c r="H21" s="44" t="inlineStr">
        <is>
          <t>How sure we are about what we know of this competitor.</t>
        </is>
      </c>
      <c r="I21" s="44" t="n"/>
      <c r="J21" s="44" t="n"/>
      <c r="K21" s="44" t="n"/>
      <c r="L21" s="44" t="n"/>
      <c r="M21" s="44" t="n"/>
      <c r="N21" s="44" t="inlineStr">
        <is>
          <t>competitor</t>
        </is>
      </c>
      <c r="O21" s="44" t="inlineStr">
        <is>
          <t>(2 columns)</t>
        </is>
      </c>
    </row>
    <row r="22">
      <c r="A22" s="46" t="inlineStr">
        <is>
          <t>Step 03</t>
        </is>
      </c>
      <c r="B22" s="46" t="inlineStr">
        <is>
          <t>SEC-02</t>
        </is>
      </c>
      <c r="C22" s="46" t="inlineStr">
        <is>
          <t>Competitors Studied</t>
        </is>
      </c>
      <c r="D22" s="46" t="inlineStr">
        <is>
          <t>2.3.1</t>
        </is>
      </c>
      <c r="E22" s="46" t="n">
        <v>3</v>
      </c>
      <c r="F22" s="46" t="inlineStr">
        <is>
          <t>Nano</t>
        </is>
      </c>
      <c r="G22" s="47" t="inlineStr">
        <is>
          <t>Last checked on</t>
        </is>
      </c>
      <c r="H22" s="46" t="inlineStr">
        <is>
          <t>The day someone last checked the competitor's live pages.</t>
        </is>
      </c>
      <c r="I22" s="46" t="inlineStr">
        <is>
          <t>date</t>
        </is>
      </c>
      <c r="J22" s="46" t="inlineStr">
        <is>
          <t>atomic</t>
        </is>
      </c>
      <c r="K22" s="46" t="inlineStr">
        <is>
          <t>optional</t>
        </is>
      </c>
      <c r="L22" s="46" t="inlineStr">
        <is>
          <t>date, not in the future</t>
        </is>
      </c>
      <c r="M22" s="46" t="inlineStr">
        <is>
          <t>2026-10-16</t>
        </is>
      </c>
      <c r="N22" s="46" t="inlineStr">
        <is>
          <t>competitor</t>
        </is>
      </c>
      <c r="O22" s="46" t="inlineStr">
        <is>
          <t>last_checked_on</t>
        </is>
      </c>
    </row>
    <row r="23">
      <c r="A23" s="46" t="inlineStr">
        <is>
          <t>Step 03</t>
        </is>
      </c>
      <c r="B23" s="46" t="inlineStr">
        <is>
          <t>SEC-02</t>
        </is>
      </c>
      <c r="C23" s="46" t="inlineStr">
        <is>
          <t>Competitors Studied</t>
        </is>
      </c>
      <c r="D23" s="46" t="inlineStr">
        <is>
          <t>2.3.2</t>
        </is>
      </c>
      <c r="E23" s="46" t="n">
        <v>3</v>
      </c>
      <c r="F23" s="46" t="inlineStr">
        <is>
          <t>Nano</t>
        </is>
      </c>
      <c r="G23" s="47" t="inlineStr">
        <is>
          <t>Evidence status</t>
        </is>
      </c>
      <c r="H23" s="46" t="inlineStr">
        <is>
          <t>Public if read on a live page, Known if only recorded in our register.</t>
        </is>
      </c>
      <c r="I23" s="46" t="inlineStr">
        <is>
          <t>enum</t>
        </is>
      </c>
      <c r="J23" s="46" t="inlineStr">
        <is>
          <t>atomic</t>
        </is>
      </c>
      <c r="K23" s="46" t="inlineStr">
        <is>
          <t>required</t>
        </is>
      </c>
      <c r="L23" s="46" t="inlineStr">
        <is>
          <t>list: EvidenceStatus</t>
        </is>
      </c>
      <c r="M23" s="46" t="inlineStr">
        <is>
          <t>Public</t>
        </is>
      </c>
      <c r="N23" s="46" t="inlineStr">
        <is>
          <t>competitor</t>
        </is>
      </c>
      <c r="O23" s="46" t="inlineStr">
        <is>
          <t>evidence_status</t>
        </is>
      </c>
    </row>
    <row r="24">
      <c r="A24" s="43" t="inlineStr">
        <is>
          <t>Step 03</t>
        </is>
      </c>
      <c r="B24" s="43" t="inlineStr">
        <is>
          <t>SEC-03</t>
        </is>
      </c>
      <c r="C24" s="43" t="inlineStr">
        <is>
          <t>Feature Inventory</t>
        </is>
      </c>
      <c r="D24" s="43" t="inlineStr">
        <is>
          <t>3</t>
        </is>
      </c>
      <c r="E24" s="43" t="n">
        <v>1</v>
      </c>
      <c r="F24" s="43" t="inlineStr">
        <is>
          <t>Macro</t>
        </is>
      </c>
      <c r="G24" s="43" t="inlineStr">
        <is>
          <t>Feature Inventory</t>
        </is>
      </c>
      <c r="H24" s="43" t="inlineStr">
        <is>
          <t>Everything the product must do: one row per feature or per capability inside a feature.</t>
        </is>
      </c>
      <c r="I24" s="43" t="n"/>
      <c r="J24" s="43" t="n"/>
      <c r="K24" s="43" t="n"/>
      <c r="L24" s="43" t="n"/>
      <c r="M24" s="43" t="n"/>
      <c r="N24" s="43" t="inlineStr">
        <is>
          <t>feature</t>
        </is>
      </c>
      <c r="O24" s="43" t="n"/>
    </row>
    <row r="25">
      <c r="A25" s="44" t="inlineStr">
        <is>
          <t>Step 03</t>
        </is>
      </c>
      <c r="B25" s="44" t="inlineStr">
        <is>
          <t>SEC-03</t>
        </is>
      </c>
      <c r="C25" s="44" t="inlineStr">
        <is>
          <t>Feature Inventory</t>
        </is>
      </c>
      <c r="D25" s="44" t="inlineStr">
        <is>
          <t>3.1</t>
        </is>
      </c>
      <c r="E25" s="44" t="n">
        <v>2</v>
      </c>
      <c r="F25" s="44" t="inlineStr">
        <is>
          <t>Micro</t>
        </is>
      </c>
      <c r="G25" s="45" t="inlineStr">
        <is>
          <t>Feature identity</t>
        </is>
      </c>
      <c r="H25" s="44" t="inlineStr">
        <is>
          <t>Which feature it is and where it sits.</t>
        </is>
      </c>
      <c r="I25" s="44" t="n"/>
      <c r="J25" s="44" t="n"/>
      <c r="K25" s="44" t="n"/>
      <c r="L25" s="44" t="n"/>
      <c r="M25" s="44" t="n"/>
      <c r="N25" s="44" t="inlineStr">
        <is>
          <t>feature</t>
        </is>
      </c>
      <c r="O25" s="44" t="inlineStr">
        <is>
          <t>(4 columns)</t>
        </is>
      </c>
    </row>
    <row r="26">
      <c r="A26" s="46" t="inlineStr">
        <is>
          <t>Step 03</t>
        </is>
      </c>
      <c r="B26" s="46" t="inlineStr">
        <is>
          <t>SEC-03</t>
        </is>
      </c>
      <c r="C26" s="46" t="inlineStr">
        <is>
          <t>Feature Inventory</t>
        </is>
      </c>
      <c r="D26" s="46" t="inlineStr">
        <is>
          <t>3.1.1</t>
        </is>
      </c>
      <c r="E26" s="46" t="n">
        <v>3</v>
      </c>
      <c r="F26" s="46" t="inlineStr">
        <is>
          <t>Nano</t>
        </is>
      </c>
      <c r="G26" s="47" t="inlineStr">
        <is>
          <t>Feature id</t>
        </is>
      </c>
      <c r="H26" s="46" t="inlineStr">
        <is>
          <t>One fixed code for the feature.</t>
        </is>
      </c>
      <c r="I26" s="46" t="inlineStr">
        <is>
          <t>id</t>
        </is>
      </c>
      <c r="J26" s="46" t="inlineStr">
        <is>
          <t>atomic</t>
        </is>
      </c>
      <c r="K26" s="46" t="inlineStr">
        <is>
          <t>required</t>
        </is>
      </c>
      <c r="L26" s="46" t="inlineStr">
        <is>
          <t>unique, pattern FD-nnn</t>
        </is>
      </c>
      <c r="M26" s="46" t="inlineStr">
        <is>
          <t>FD-001</t>
        </is>
      </c>
      <c r="N26" s="46" t="inlineStr">
        <is>
          <t>feature</t>
        </is>
      </c>
      <c r="O26" s="46" t="inlineStr">
        <is>
          <t>feature_id</t>
        </is>
      </c>
    </row>
    <row r="27">
      <c r="A27" s="46" t="inlineStr">
        <is>
          <t>Step 03</t>
        </is>
      </c>
      <c r="B27" s="46" t="inlineStr">
        <is>
          <t>SEC-03</t>
        </is>
      </c>
      <c r="C27" s="46" t="inlineStr">
        <is>
          <t>Feature Inventory</t>
        </is>
      </c>
      <c r="D27" s="46" t="inlineStr">
        <is>
          <t>3.1.2</t>
        </is>
      </c>
      <c r="E27" s="46" t="n">
        <v>3</v>
      </c>
      <c r="F27" s="46" t="inlineStr">
        <is>
          <t>Nano</t>
        </is>
      </c>
      <c r="G27" s="47" t="inlineStr">
        <is>
          <t>Feature name</t>
        </is>
      </c>
      <c r="H27" s="46" t="inlineStr">
        <is>
          <t>A short name in plain words.</t>
        </is>
      </c>
      <c r="I27" s="46" t="inlineStr">
        <is>
          <t>text</t>
        </is>
      </c>
      <c r="J27" s="46" t="inlineStr">
        <is>
          <t>atomic</t>
        </is>
      </c>
      <c r="K27" s="46" t="inlineStr">
        <is>
          <t>required</t>
        </is>
      </c>
      <c r="L27" s="46" t="inlineStr">
        <is>
          <t>1 to 150 characters, unique</t>
        </is>
      </c>
      <c r="M27" s="46" t="inlineStr">
        <is>
          <t>Resume headline and profile summary</t>
        </is>
      </c>
      <c r="N27" s="46" t="inlineStr">
        <is>
          <t>feature</t>
        </is>
      </c>
      <c r="O27" s="46" t="inlineStr">
        <is>
          <t>feature_name</t>
        </is>
      </c>
    </row>
    <row r="28">
      <c r="A28" s="46" t="inlineStr">
        <is>
          <t>Step 03</t>
        </is>
      </c>
      <c r="B28" s="46" t="inlineStr">
        <is>
          <t>SEC-03</t>
        </is>
      </c>
      <c r="C28" s="46" t="inlineStr">
        <is>
          <t>Feature Inventory</t>
        </is>
      </c>
      <c r="D28" s="46" t="inlineStr">
        <is>
          <t>3.1.3</t>
        </is>
      </c>
      <c r="E28" s="46" t="n">
        <v>3</v>
      </c>
      <c r="F28" s="46" t="inlineStr">
        <is>
          <t>Nano</t>
        </is>
      </c>
      <c r="G28" s="47" t="inlineStr">
        <is>
          <t>Feature level</t>
        </is>
      </c>
      <c r="H28" s="46" t="inlineStr">
        <is>
          <t>Feature, or capability (one smaller requirement inside a feature).</t>
        </is>
      </c>
      <c r="I28" s="46" t="inlineStr">
        <is>
          <t>enum</t>
        </is>
      </c>
      <c r="J28" s="46" t="inlineStr">
        <is>
          <t>atomic</t>
        </is>
      </c>
      <c r="K28" s="46" t="inlineStr">
        <is>
          <t>required</t>
        </is>
      </c>
      <c r="L28" s="46" t="inlineStr">
        <is>
          <t>list: FeatureLevel</t>
        </is>
      </c>
      <c r="M28" s="46" t="inlineStr">
        <is>
          <t>Feature</t>
        </is>
      </c>
      <c r="N28" s="46" t="inlineStr">
        <is>
          <t>feature</t>
        </is>
      </c>
      <c r="O28" s="46" t="inlineStr">
        <is>
          <t>feature_level</t>
        </is>
      </c>
    </row>
    <row r="29">
      <c r="A29" s="46" t="inlineStr">
        <is>
          <t>Step 03</t>
        </is>
      </c>
      <c r="B29" s="46" t="inlineStr">
        <is>
          <t>SEC-03</t>
        </is>
      </c>
      <c r="C29" s="46" t="inlineStr">
        <is>
          <t>Feature Inventory</t>
        </is>
      </c>
      <c r="D29" s="46" t="inlineStr">
        <is>
          <t>3.1.4</t>
        </is>
      </c>
      <c r="E29" s="46" t="n">
        <v>3</v>
      </c>
      <c r="F29" s="46" t="inlineStr">
        <is>
          <t>Nano</t>
        </is>
      </c>
      <c r="G29" s="47" t="inlineStr">
        <is>
          <t>Parent feature id</t>
        </is>
      </c>
      <c r="H29" s="46" t="inlineStr">
        <is>
          <t>For a capability, the feature it belongs to.</t>
        </is>
      </c>
      <c r="I29" s="46" t="inlineStr">
        <is>
          <t>reference</t>
        </is>
      </c>
      <c r="J29" s="46" t="inlineStr">
        <is>
          <t>atomic</t>
        </is>
      </c>
      <c r="K29" s="46" t="inlineStr">
        <is>
          <t>conditional</t>
        </is>
      </c>
      <c r="L29" s="46" t="inlineStr">
        <is>
          <t>an existing feature_id; required when level is Capability</t>
        </is>
      </c>
      <c r="M29" s="46" t="inlineStr">
        <is>
          <t>FD-012</t>
        </is>
      </c>
      <c r="N29" s="46" t="inlineStr">
        <is>
          <t>feature</t>
        </is>
      </c>
      <c r="O29" s="46" t="inlineStr">
        <is>
          <t>parent_feature_id</t>
        </is>
      </c>
    </row>
    <row r="30">
      <c r="A30" s="44" t="inlineStr">
        <is>
          <t>Step 03</t>
        </is>
      </c>
      <c r="B30" s="44" t="inlineStr">
        <is>
          <t>SEC-03</t>
        </is>
      </c>
      <c r="C30" s="44" t="inlineStr">
        <is>
          <t>Feature Inventory</t>
        </is>
      </c>
      <c r="D30" s="44" t="inlineStr">
        <is>
          <t>3.2</t>
        </is>
      </c>
      <c r="E30" s="44" t="n">
        <v>2</v>
      </c>
      <c r="F30" s="44" t="inlineStr">
        <is>
          <t>Micro</t>
        </is>
      </c>
      <c r="G30" s="45" t="inlineStr">
        <is>
          <t>Description</t>
        </is>
      </c>
      <c r="H30" s="44" t="inlineStr">
        <is>
          <t>What it is, for whom and where it belongs.</t>
        </is>
      </c>
      <c r="I30" s="44" t="n"/>
      <c r="J30" s="44" t="n"/>
      <c r="K30" s="44" t="n"/>
      <c r="L30" s="44" t="n"/>
      <c r="M30" s="44" t="n"/>
      <c r="N30" s="44" t="inlineStr">
        <is>
          <t>feature</t>
        </is>
      </c>
      <c r="O30" s="44" t="inlineStr">
        <is>
          <t>(4 columns)</t>
        </is>
      </c>
    </row>
    <row r="31">
      <c r="A31" s="46" t="inlineStr">
        <is>
          <t>Step 03</t>
        </is>
      </c>
      <c r="B31" s="46" t="inlineStr">
        <is>
          <t>SEC-03</t>
        </is>
      </c>
      <c r="C31" s="46" t="inlineStr">
        <is>
          <t>Feature Inventory</t>
        </is>
      </c>
      <c r="D31" s="46" t="inlineStr">
        <is>
          <t>3.2.1</t>
        </is>
      </c>
      <c r="E31" s="46" t="n">
        <v>3</v>
      </c>
      <c r="F31" s="46" t="inlineStr">
        <is>
          <t>Nano</t>
        </is>
      </c>
      <c r="G31" s="47" t="inlineStr">
        <is>
          <t>Plain description</t>
        </is>
      </c>
      <c r="H31" s="46" t="inlineStr">
        <is>
          <t>One or two sentences saying what the feature does.</t>
        </is>
      </c>
      <c r="I31" s="46" t="inlineStr">
        <is>
          <t>text</t>
        </is>
      </c>
      <c r="J31" s="46" t="inlineStr">
        <is>
          <t>atomic</t>
        </is>
      </c>
      <c r="K31" s="46" t="inlineStr">
        <is>
          <t>required</t>
        </is>
      </c>
      <c r="L31" s="46" t="inlineStr">
        <is>
          <t>1 to 500 characters</t>
        </is>
      </c>
      <c r="M31" s="46" t="inlineStr">
        <is>
          <t>A short headline and a summary of the candidate</t>
        </is>
      </c>
      <c r="N31" s="46" t="inlineStr">
        <is>
          <t>feature</t>
        </is>
      </c>
      <c r="O31" s="46" t="inlineStr">
        <is>
          <t>description</t>
        </is>
      </c>
    </row>
    <row r="32">
      <c r="A32" s="46" t="inlineStr">
        <is>
          <t>Step 03</t>
        </is>
      </c>
      <c r="B32" s="46" t="inlineStr">
        <is>
          <t>SEC-03</t>
        </is>
      </c>
      <c r="C32" s="46" t="inlineStr">
        <is>
          <t>Feature Inventory</t>
        </is>
      </c>
      <c r="D32" s="46" t="inlineStr">
        <is>
          <t>3.2.2</t>
        </is>
      </c>
      <c r="E32" s="46" t="n">
        <v>3</v>
      </c>
      <c r="F32" s="46" t="inlineStr">
        <is>
          <t>Nano</t>
        </is>
      </c>
      <c r="G32" s="47" t="inlineStr">
        <is>
          <t>Category</t>
        </is>
      </c>
      <c r="H32" s="46" t="inlineStr">
        <is>
          <t>The area of the product it belongs to.</t>
        </is>
      </c>
      <c r="I32" s="46" t="inlineStr">
        <is>
          <t>enum</t>
        </is>
      </c>
      <c r="J32" s="46" t="inlineStr">
        <is>
          <t>atomic</t>
        </is>
      </c>
      <c r="K32" s="46" t="inlineStr">
        <is>
          <t>required</t>
        </is>
      </c>
      <c r="L32" s="46" t="inlineStr">
        <is>
          <t>list: Category</t>
        </is>
      </c>
      <c r="M32" s="46" t="inlineStr">
        <is>
          <t>Profile</t>
        </is>
      </c>
      <c r="N32" s="46" t="inlineStr">
        <is>
          <t>feature</t>
        </is>
      </c>
      <c r="O32" s="46" t="inlineStr">
        <is>
          <t>category</t>
        </is>
      </c>
    </row>
    <row r="33">
      <c r="A33" s="46" t="inlineStr">
        <is>
          <t>Step 03</t>
        </is>
      </c>
      <c r="B33" s="46" t="inlineStr">
        <is>
          <t>SEC-03</t>
        </is>
      </c>
      <c r="C33" s="46" t="inlineStr">
        <is>
          <t>Feature Inventory</t>
        </is>
      </c>
      <c r="D33" s="46" t="inlineStr">
        <is>
          <t>3.2.3</t>
        </is>
      </c>
      <c r="E33" s="46" t="n">
        <v>3</v>
      </c>
      <c r="F33" s="46" t="inlineStr">
        <is>
          <t>Nano</t>
        </is>
      </c>
      <c r="G33" s="47" t="inlineStr">
        <is>
          <t>Persona</t>
        </is>
      </c>
      <c r="H33" s="46" t="inlineStr">
        <is>
          <t>The type of person who uses it most.</t>
        </is>
      </c>
      <c r="I33" s="46" t="inlineStr">
        <is>
          <t>enum</t>
        </is>
      </c>
      <c r="J33" s="46" t="inlineStr">
        <is>
          <t>atomic</t>
        </is>
      </c>
      <c r="K33" s="46" t="inlineStr">
        <is>
          <t>required</t>
        </is>
      </c>
      <c r="L33" s="46" t="inlineStr">
        <is>
          <t>list: Persona</t>
        </is>
      </c>
      <c r="M33" s="46" t="inlineStr">
        <is>
          <t>Candidate</t>
        </is>
      </c>
      <c r="N33" s="46" t="inlineStr">
        <is>
          <t>feature</t>
        </is>
      </c>
      <c r="O33" s="46" t="inlineStr">
        <is>
          <t>persona</t>
        </is>
      </c>
    </row>
    <row r="34">
      <c r="A34" s="46" t="inlineStr">
        <is>
          <t>Step 03</t>
        </is>
      </c>
      <c r="B34" s="46" t="inlineStr">
        <is>
          <t>SEC-03</t>
        </is>
      </c>
      <c r="C34" s="46" t="inlineStr">
        <is>
          <t>Feature Inventory</t>
        </is>
      </c>
      <c r="D34" s="46" t="inlineStr">
        <is>
          <t>3.2.4</t>
        </is>
      </c>
      <c r="E34" s="46" t="n">
        <v>3</v>
      </c>
      <c r="F34" s="46" t="inlineStr">
        <is>
          <t>Nano</t>
        </is>
      </c>
      <c r="G34" s="47" t="inlineStr">
        <is>
          <t>Scope</t>
        </is>
      </c>
      <c r="H34" s="46" t="inlineStr">
        <is>
          <t>General, campus only, or not observable in competitors.</t>
        </is>
      </c>
      <c r="I34" s="46" t="inlineStr">
        <is>
          <t>enum</t>
        </is>
      </c>
      <c r="J34" s="46" t="inlineStr">
        <is>
          <t>atomic</t>
        </is>
      </c>
      <c r="K34" s="46" t="inlineStr">
        <is>
          <t>required</t>
        </is>
      </c>
      <c r="L34" s="46" t="inlineStr">
        <is>
          <t>list: ComparisonScope</t>
        </is>
      </c>
      <c r="M34" s="46" t="inlineStr">
        <is>
          <t>General</t>
        </is>
      </c>
      <c r="N34" s="46" t="inlineStr">
        <is>
          <t>feature</t>
        </is>
      </c>
      <c r="O34" s="46" t="inlineStr">
        <is>
          <t>scope</t>
        </is>
      </c>
    </row>
    <row r="35">
      <c r="A35" s="44" t="inlineStr">
        <is>
          <t>Step 03</t>
        </is>
      </c>
      <c r="B35" s="44" t="inlineStr">
        <is>
          <t>SEC-03</t>
        </is>
      </c>
      <c r="C35" s="44" t="inlineStr">
        <is>
          <t>Feature Inventory</t>
        </is>
      </c>
      <c r="D35" s="44" t="inlineStr">
        <is>
          <t>3.3</t>
        </is>
      </c>
      <c r="E35" s="44" t="n">
        <v>2</v>
      </c>
      <c r="F35" s="44" t="inlineStr">
        <is>
          <t>Micro</t>
        </is>
      </c>
      <c r="G35" s="45" t="inlineStr">
        <is>
          <t>Origin</t>
        </is>
      </c>
      <c r="H35" s="44" t="inlineStr">
        <is>
          <t>Where the feature was first found.</t>
        </is>
      </c>
      <c r="I35" s="44" t="n"/>
      <c r="J35" s="44" t="n"/>
      <c r="K35" s="44" t="n"/>
      <c r="L35" s="44" t="n"/>
      <c r="M35" s="44" t="n"/>
      <c r="N35" s="44" t="inlineStr">
        <is>
          <t>feature</t>
        </is>
      </c>
      <c r="O35" s="44" t="inlineStr">
        <is>
          <t>(2 columns)</t>
        </is>
      </c>
    </row>
    <row r="36">
      <c r="A36" s="46" t="inlineStr">
        <is>
          <t>Step 03</t>
        </is>
      </c>
      <c r="B36" s="46" t="inlineStr">
        <is>
          <t>SEC-03</t>
        </is>
      </c>
      <c r="C36" s="46" t="inlineStr">
        <is>
          <t>Feature Inventory</t>
        </is>
      </c>
      <c r="D36" s="46" t="inlineStr">
        <is>
          <t>3.3.1</t>
        </is>
      </c>
      <c r="E36" s="46" t="n">
        <v>3</v>
      </c>
      <c r="F36" s="46" t="inlineStr">
        <is>
          <t>Nano</t>
        </is>
      </c>
      <c r="G36" s="47" t="inlineStr">
        <is>
          <t>Source type</t>
        </is>
      </c>
      <c r="H36" s="46" t="inlineStr">
        <is>
          <t>What kind of source named the feature.</t>
        </is>
      </c>
      <c r="I36" s="46" t="inlineStr">
        <is>
          <t>enum</t>
        </is>
      </c>
      <c r="J36" s="46" t="inlineStr">
        <is>
          <t>atomic</t>
        </is>
      </c>
      <c r="K36" s="46" t="inlineStr">
        <is>
          <t>required</t>
        </is>
      </c>
      <c r="L36" s="46" t="inlineStr">
        <is>
          <t>list: SourceType</t>
        </is>
      </c>
      <c r="M36" s="46" t="inlineStr">
        <is>
          <t>Competitor register</t>
        </is>
      </c>
      <c r="N36" s="46" t="inlineStr">
        <is>
          <t>feature</t>
        </is>
      </c>
      <c r="O36" s="46" t="inlineStr">
        <is>
          <t>source_type</t>
        </is>
      </c>
    </row>
    <row r="37">
      <c r="A37" s="46" t="inlineStr">
        <is>
          <t>Step 03</t>
        </is>
      </c>
      <c r="B37" s="46" t="inlineStr">
        <is>
          <t>SEC-03</t>
        </is>
      </c>
      <c r="C37" s="46" t="inlineStr">
        <is>
          <t>Feature Inventory</t>
        </is>
      </c>
      <c r="D37" s="46" t="inlineStr">
        <is>
          <t>3.3.2</t>
        </is>
      </c>
      <c r="E37" s="46" t="n">
        <v>3</v>
      </c>
      <c r="F37" s="46" t="inlineStr">
        <is>
          <t>Nano</t>
        </is>
      </c>
      <c r="G37" s="47" t="inlineStr">
        <is>
          <t>Source reference</t>
        </is>
      </c>
      <c r="H37" s="46" t="inlineStr">
        <is>
          <t>The section or row of that source.</t>
        </is>
      </c>
      <c r="I37" s="46" t="inlineStr">
        <is>
          <t>text</t>
        </is>
      </c>
      <c r="J37" s="46" t="inlineStr">
        <is>
          <t>atomic</t>
        </is>
      </c>
      <c r="K37" s="46" t="inlineStr">
        <is>
          <t>required</t>
        </is>
      </c>
      <c r="L37" s="46" t="inlineStr">
        <is>
          <t>1 to 200 characters</t>
        </is>
      </c>
      <c r="M37" s="46" t="inlineStr">
        <is>
          <t>Section 1: Candidate profile</t>
        </is>
      </c>
      <c r="N37" s="46" t="inlineStr">
        <is>
          <t>feature</t>
        </is>
      </c>
      <c r="O37" s="46" t="inlineStr">
        <is>
          <t>source_reference</t>
        </is>
      </c>
    </row>
    <row r="38">
      <c r="A38" s="44" t="inlineStr">
        <is>
          <t>Step 03</t>
        </is>
      </c>
      <c r="B38" s="44" t="inlineStr">
        <is>
          <t>SEC-03</t>
        </is>
      </c>
      <c r="C38" s="44" t="inlineStr">
        <is>
          <t>Feature Inventory</t>
        </is>
      </c>
      <c r="D38" s="44" t="inlineStr">
        <is>
          <t>3.4</t>
        </is>
      </c>
      <c r="E38" s="44" t="n">
        <v>2</v>
      </c>
      <c r="F38" s="44" t="inlineStr">
        <is>
          <t>Micro</t>
        </is>
      </c>
      <c r="G38" s="45" t="inlineStr">
        <is>
          <t>Scope decision</t>
        </is>
      </c>
      <c r="H38" s="44" t="inlineStr">
        <is>
          <t>Whether the feature stays in the product.</t>
        </is>
      </c>
      <c r="I38" s="44" t="n"/>
      <c r="J38" s="44" t="n"/>
      <c r="K38" s="44" t="n"/>
      <c r="L38" s="44" t="n"/>
      <c r="M38" s="44" t="n"/>
      <c r="N38" s="44" t="inlineStr">
        <is>
          <t>feature</t>
        </is>
      </c>
      <c r="O38" s="44" t="inlineStr">
        <is>
          <t>(2 columns)</t>
        </is>
      </c>
    </row>
    <row r="39">
      <c r="A39" s="46" t="inlineStr">
        <is>
          <t>Step 03</t>
        </is>
      </c>
      <c r="B39" s="46" t="inlineStr">
        <is>
          <t>SEC-03</t>
        </is>
      </c>
      <c r="C39" s="46" t="inlineStr">
        <is>
          <t>Feature Inventory</t>
        </is>
      </c>
      <c r="D39" s="46" t="inlineStr">
        <is>
          <t>3.4.1</t>
        </is>
      </c>
      <c r="E39" s="46" t="n">
        <v>3</v>
      </c>
      <c r="F39" s="46" t="inlineStr">
        <is>
          <t>Nano</t>
        </is>
      </c>
      <c r="G39" s="47" t="inlineStr">
        <is>
          <t>Scope decision</t>
        </is>
      </c>
      <c r="H39" s="46" t="inlineStr">
        <is>
          <t>Keep, defer or drop.</t>
        </is>
      </c>
      <c r="I39" s="46" t="inlineStr">
        <is>
          <t>enum</t>
        </is>
      </c>
      <c r="J39" s="46" t="inlineStr">
        <is>
          <t>atomic</t>
        </is>
      </c>
      <c r="K39" s="46" t="inlineStr">
        <is>
          <t>required</t>
        </is>
      </c>
      <c r="L39" s="46" t="inlineStr">
        <is>
          <t>list: ScopeDecision</t>
        </is>
      </c>
      <c r="M39" s="46" t="inlineStr">
        <is>
          <t>Keep</t>
        </is>
      </c>
      <c r="N39" s="46" t="inlineStr">
        <is>
          <t>feature</t>
        </is>
      </c>
      <c r="O39" s="46" t="inlineStr">
        <is>
          <t>scope_decision</t>
        </is>
      </c>
    </row>
    <row r="40">
      <c r="A40" s="46" t="inlineStr">
        <is>
          <t>Step 03</t>
        </is>
      </c>
      <c r="B40" s="46" t="inlineStr">
        <is>
          <t>SEC-03</t>
        </is>
      </c>
      <c r="C40" s="46" t="inlineStr">
        <is>
          <t>Feature Inventory</t>
        </is>
      </c>
      <c r="D40" s="46" t="inlineStr">
        <is>
          <t>3.4.2</t>
        </is>
      </c>
      <c r="E40" s="46" t="n">
        <v>3</v>
      </c>
      <c r="F40" s="46" t="inlineStr">
        <is>
          <t>Nano</t>
        </is>
      </c>
      <c r="G40" s="47" t="inlineStr">
        <is>
          <t>Decision reason</t>
        </is>
      </c>
      <c r="H40" s="46" t="inlineStr">
        <is>
          <t>Why a feature was deferred or dropped.</t>
        </is>
      </c>
      <c r="I40" s="46" t="inlineStr">
        <is>
          <t>text</t>
        </is>
      </c>
      <c r="J40" s="46" t="inlineStr">
        <is>
          <t>atomic</t>
        </is>
      </c>
      <c r="K40" s="46" t="inlineStr">
        <is>
          <t>conditional</t>
        </is>
      </c>
      <c r="L40" s="46" t="inlineStr">
        <is>
          <t>required when the decision is not Keep</t>
        </is>
      </c>
      <c r="M40" s="46" t="inlineStr">
        <is>
          <t>Left out on purpose: placement fees belong to finance</t>
        </is>
      </c>
      <c r="N40" s="46" t="inlineStr">
        <is>
          <t>feature</t>
        </is>
      </c>
      <c r="O40" s="46" t="inlineStr">
        <is>
          <t>decision_reason</t>
        </is>
      </c>
    </row>
    <row r="41">
      <c r="A41" s="43" t="inlineStr">
        <is>
          <t>Step 03</t>
        </is>
      </c>
      <c r="B41" s="43" t="inlineStr">
        <is>
          <t>SEC-04</t>
        </is>
      </c>
      <c r="C41" s="43" t="inlineStr">
        <is>
          <t>Feature Classification</t>
        </is>
      </c>
      <c r="D41" s="43" t="inlineStr">
        <is>
          <t>4</t>
        </is>
      </c>
      <c r="E41" s="43" t="n">
        <v>1</v>
      </c>
      <c r="F41" s="43" t="inlineStr">
        <is>
          <t>Macro</t>
        </is>
      </c>
      <c r="G41" s="43" t="inlineStr">
        <is>
          <t>Feature Classification</t>
        </is>
      </c>
      <c r="H41" s="43" t="inlineStr">
        <is>
          <t>Must-have, should-have or differentiator, with the rule and how sure we are.</t>
        </is>
      </c>
      <c r="I41" s="43" t="n"/>
      <c r="J41" s="43" t="n"/>
      <c r="K41" s="43" t="n"/>
      <c r="L41" s="43" t="n"/>
      <c r="M41" s="43" t="n"/>
      <c r="N41" s="43" t="inlineStr">
        <is>
          <t>feature</t>
        </is>
      </c>
      <c r="O41" s="43" t="n"/>
    </row>
    <row r="42">
      <c r="A42" s="44" t="inlineStr">
        <is>
          <t>Step 03</t>
        </is>
      </c>
      <c r="B42" s="44" t="inlineStr">
        <is>
          <t>SEC-04</t>
        </is>
      </c>
      <c r="C42" s="44" t="inlineStr">
        <is>
          <t>Feature Classification</t>
        </is>
      </c>
      <c r="D42" s="44" t="inlineStr">
        <is>
          <t>4.1</t>
        </is>
      </c>
      <c r="E42" s="44" t="n">
        <v>2</v>
      </c>
      <c r="F42" s="44" t="inlineStr">
        <is>
          <t>Micro</t>
        </is>
      </c>
      <c r="G42" s="45" t="inlineStr">
        <is>
          <t>Class result</t>
        </is>
      </c>
      <c r="H42" s="44" t="inlineStr">
        <is>
          <t>The class and the reason for it.</t>
        </is>
      </c>
      <c r="I42" s="44" t="n"/>
      <c r="J42" s="44" t="n"/>
      <c r="K42" s="44" t="n"/>
      <c r="L42" s="44" t="n"/>
      <c r="M42" s="44" t="n"/>
      <c r="N42" s="44" t="inlineStr">
        <is>
          <t>feature</t>
        </is>
      </c>
      <c r="O42" s="44" t="inlineStr">
        <is>
          <t>(3 columns)</t>
        </is>
      </c>
    </row>
    <row r="43">
      <c r="A43" s="46" t="inlineStr">
        <is>
          <t>Step 03</t>
        </is>
      </c>
      <c r="B43" s="46" t="inlineStr">
        <is>
          <t>SEC-04</t>
        </is>
      </c>
      <c r="C43" s="46" t="inlineStr">
        <is>
          <t>Feature Classification</t>
        </is>
      </c>
      <c r="D43" s="46" t="inlineStr">
        <is>
          <t>4.1.1</t>
        </is>
      </c>
      <c r="E43" s="46" t="n">
        <v>3</v>
      </c>
      <c r="F43" s="46" t="inlineStr">
        <is>
          <t>Nano</t>
        </is>
      </c>
      <c r="G43" s="47" t="inlineStr">
        <is>
          <t>Classification</t>
        </is>
      </c>
      <c r="H43" s="46" t="inlineStr">
        <is>
          <t>MUST-HAVE, SHOULD-HAVE or DIFFERENTIATOR.</t>
        </is>
      </c>
      <c r="I43" s="46" t="inlineStr">
        <is>
          <t>enum</t>
        </is>
      </c>
      <c r="J43" s="46" t="inlineStr">
        <is>
          <t>atomic</t>
        </is>
      </c>
      <c r="K43" s="46" t="inlineStr">
        <is>
          <t>required</t>
        </is>
      </c>
      <c r="L43" s="46" t="inlineStr">
        <is>
          <t>list: Class</t>
        </is>
      </c>
      <c r="M43" s="46" t="inlineStr">
        <is>
          <t>MUST-HAVE</t>
        </is>
      </c>
      <c r="N43" s="46" t="inlineStr">
        <is>
          <t>feature</t>
        </is>
      </c>
      <c r="O43" s="46" t="inlineStr">
        <is>
          <t>classification</t>
        </is>
      </c>
    </row>
    <row r="44">
      <c r="A44" s="46" t="inlineStr">
        <is>
          <t>Step 03</t>
        </is>
      </c>
      <c r="B44" s="46" t="inlineStr">
        <is>
          <t>SEC-04</t>
        </is>
      </c>
      <c r="C44" s="46" t="inlineStr">
        <is>
          <t>Feature Classification</t>
        </is>
      </c>
      <c r="D44" s="46" t="inlineStr">
        <is>
          <t>4.1.2</t>
        </is>
      </c>
      <c r="E44" s="46" t="n">
        <v>3</v>
      </c>
      <c r="F44" s="46" t="inlineStr">
        <is>
          <t>Nano</t>
        </is>
      </c>
      <c r="G44" s="47" t="inlineStr">
        <is>
          <t>Class basis</t>
        </is>
      </c>
      <c r="H44" s="46" t="inlineStr">
        <is>
          <t>The rule that gave the class.</t>
        </is>
      </c>
      <c r="I44" s="46" t="inlineStr">
        <is>
          <t>enum</t>
        </is>
      </c>
      <c r="J44" s="46" t="inlineStr">
        <is>
          <t>atomic</t>
        </is>
      </c>
      <c r="K44" s="46" t="inlineStr">
        <is>
          <t>required</t>
        </is>
      </c>
      <c r="L44" s="46" t="inlineStr">
        <is>
          <t>list: ClassBasis</t>
        </is>
      </c>
      <c r="M44" s="46" t="inlineStr">
        <is>
          <t>Competitor matrix rule</t>
        </is>
      </c>
      <c r="N44" s="46" t="inlineStr">
        <is>
          <t>feature</t>
        </is>
      </c>
      <c r="O44" s="46" t="inlineStr">
        <is>
          <t>class_basis</t>
        </is>
      </c>
    </row>
    <row r="45">
      <c r="A45" s="46" t="inlineStr">
        <is>
          <t>Step 03</t>
        </is>
      </c>
      <c r="B45" s="46" t="inlineStr">
        <is>
          <t>SEC-04</t>
        </is>
      </c>
      <c r="C45" s="46" t="inlineStr">
        <is>
          <t>Feature Classification</t>
        </is>
      </c>
      <c r="D45" s="46" t="inlineStr">
        <is>
          <t>4.1.3</t>
        </is>
      </c>
      <c r="E45" s="46" t="n">
        <v>3</v>
      </c>
      <c r="F45" s="46" t="inlineStr">
        <is>
          <t>Nano</t>
        </is>
      </c>
      <c r="G45" s="47" t="inlineStr">
        <is>
          <t>Class reason</t>
        </is>
      </c>
      <c r="H45" s="46" t="inlineStr">
        <is>
          <t>One sentence of proof, for example how many leaders offer it.</t>
        </is>
      </c>
      <c r="I45" s="46" t="inlineStr">
        <is>
          <t>text</t>
        </is>
      </c>
      <c r="J45" s="46" t="inlineStr">
        <is>
          <t>atomic</t>
        </is>
      </c>
      <c r="K45" s="46" t="inlineStr">
        <is>
          <t>required</t>
        </is>
      </c>
      <c r="L45" s="46" t="inlineStr">
        <is>
          <t>1 to 300 characters</t>
        </is>
      </c>
      <c r="M45" s="46" t="inlineStr">
        <is>
          <t>3 of 3 studied leaders offer it</t>
        </is>
      </c>
      <c r="N45" s="46" t="inlineStr">
        <is>
          <t>feature</t>
        </is>
      </c>
      <c r="O45" s="46" t="inlineStr">
        <is>
          <t>class_reason</t>
        </is>
      </c>
    </row>
    <row r="46">
      <c r="A46" s="44" t="inlineStr">
        <is>
          <t>Step 03</t>
        </is>
      </c>
      <c r="B46" s="44" t="inlineStr">
        <is>
          <t>SEC-04</t>
        </is>
      </c>
      <c r="C46" s="44" t="inlineStr">
        <is>
          <t>Feature Classification</t>
        </is>
      </c>
      <c r="D46" s="44" t="inlineStr">
        <is>
          <t>4.2</t>
        </is>
      </c>
      <c r="E46" s="44" t="n">
        <v>2</v>
      </c>
      <c r="F46" s="44" t="inlineStr">
        <is>
          <t>Micro</t>
        </is>
      </c>
      <c r="G46" s="45" t="inlineStr">
        <is>
          <t>Confidence</t>
        </is>
      </c>
      <c r="H46" s="44" t="inlineStr">
        <is>
          <t>How sure we are about the class.</t>
        </is>
      </c>
      <c r="I46" s="44" t="n"/>
      <c r="J46" s="44" t="n"/>
      <c r="K46" s="44" t="n"/>
      <c r="L46" s="44" t="n"/>
      <c r="M46" s="44" t="n"/>
      <c r="N46" s="44" t="inlineStr">
        <is>
          <t>feature</t>
        </is>
      </c>
      <c r="O46" s="44" t="inlineStr">
        <is>
          <t>(4 columns)</t>
        </is>
      </c>
    </row>
    <row r="47">
      <c r="A47" s="46" t="inlineStr">
        <is>
          <t>Step 03</t>
        </is>
      </c>
      <c r="B47" s="46" t="inlineStr">
        <is>
          <t>SEC-04</t>
        </is>
      </c>
      <c r="C47" s="46" t="inlineStr">
        <is>
          <t>Feature Classification</t>
        </is>
      </c>
      <c r="D47" s="46" t="inlineStr">
        <is>
          <t>4.2.1</t>
        </is>
      </c>
      <c r="E47" s="46" t="n">
        <v>3</v>
      </c>
      <c r="F47" s="46" t="inlineStr">
        <is>
          <t>Nano</t>
        </is>
      </c>
      <c r="G47" s="47" t="inlineStr">
        <is>
          <t>Confidence</t>
        </is>
      </c>
      <c r="H47" s="46" t="inlineStr">
        <is>
          <t>Firm, provisional or declared.</t>
        </is>
      </c>
      <c r="I47" s="46" t="inlineStr">
        <is>
          <t>enum</t>
        </is>
      </c>
      <c r="J47" s="46" t="inlineStr">
        <is>
          <t>derived</t>
        </is>
      </c>
      <c r="K47" s="46" t="inlineStr">
        <is>
          <t>required</t>
        </is>
      </c>
      <c r="L47" s="46" t="inlineStr">
        <is>
          <t>list: Confidence</t>
        </is>
      </c>
      <c r="M47" s="46" t="inlineStr">
        <is>
          <t>Firm</t>
        </is>
      </c>
      <c r="N47" s="46" t="inlineStr">
        <is>
          <t>feature</t>
        </is>
      </c>
      <c r="O47" s="46" t="inlineStr">
        <is>
          <t>confidence</t>
        </is>
      </c>
    </row>
    <row r="48">
      <c r="A48" s="46" t="inlineStr">
        <is>
          <t>Step 03</t>
        </is>
      </c>
      <c r="B48" s="46" t="inlineStr">
        <is>
          <t>SEC-04</t>
        </is>
      </c>
      <c r="C48" s="46" t="inlineStr">
        <is>
          <t>Feature Classification</t>
        </is>
      </c>
      <c r="D48" s="46" t="inlineStr">
        <is>
          <t>4.2.2</t>
        </is>
      </c>
      <c r="E48" s="46" t="n">
        <v>3</v>
      </c>
      <c r="F48" s="46" t="inlineStr">
        <is>
          <t>Nano</t>
        </is>
      </c>
      <c r="G48" s="47" t="inlineStr">
        <is>
          <t>Evidence status</t>
        </is>
      </c>
      <c r="H48" s="46" t="inlineStr">
        <is>
          <t>The weakest evidence behind the coverage cells of this feature.</t>
        </is>
      </c>
      <c r="I48" s="46" t="inlineStr">
        <is>
          <t>enum</t>
        </is>
      </c>
      <c r="J48" s="46" t="inlineStr">
        <is>
          <t>derived</t>
        </is>
      </c>
      <c r="K48" s="46" t="inlineStr">
        <is>
          <t>required</t>
        </is>
      </c>
      <c r="L48" s="46" t="inlineStr">
        <is>
          <t>list: EvidenceStatus</t>
        </is>
      </c>
      <c r="M48" s="46" t="inlineStr">
        <is>
          <t>Public</t>
        </is>
      </c>
      <c r="N48" s="46" t="inlineStr">
        <is>
          <t>feature</t>
        </is>
      </c>
      <c r="O48" s="46" t="inlineStr">
        <is>
          <t>evidence_status</t>
        </is>
      </c>
    </row>
    <row r="49">
      <c r="A49" s="46" t="inlineStr">
        <is>
          <t>Step 03</t>
        </is>
      </c>
      <c r="B49" s="46" t="inlineStr">
        <is>
          <t>SEC-04</t>
        </is>
      </c>
      <c r="C49" s="46" t="inlineStr">
        <is>
          <t>Feature Classification</t>
        </is>
      </c>
      <c r="D49" s="46" t="inlineStr">
        <is>
          <t>4.2.3</t>
        </is>
      </c>
      <c r="E49" s="46" t="n">
        <v>3</v>
      </c>
      <c r="F49" s="46" t="inlineStr">
        <is>
          <t>Nano</t>
        </is>
      </c>
      <c r="G49" s="47" t="inlineStr">
        <is>
          <t>Leaders studied</t>
        </is>
      </c>
      <c r="H49" s="46" t="inlineStr">
        <is>
          <t>How many leader competitors in scope have a coverage row for this feature.</t>
        </is>
      </c>
      <c r="I49" s="46" t="inlineStr">
        <is>
          <t>integer</t>
        </is>
      </c>
      <c r="J49" s="46" t="inlineStr">
        <is>
          <t>derived</t>
        </is>
      </c>
      <c r="K49" s="46" t="inlineStr">
        <is>
          <t>required</t>
        </is>
      </c>
      <c r="L49" s="46" t="inlineStr">
        <is>
          <t>0 to number of leaders</t>
        </is>
      </c>
      <c r="M49" s="46" t="inlineStr">
        <is>
          <t>3</t>
        </is>
      </c>
      <c r="N49" s="46" t="inlineStr">
        <is>
          <t>feature</t>
        </is>
      </c>
      <c r="O49" s="46" t="inlineStr">
        <is>
          <t>leaders_studied</t>
        </is>
      </c>
    </row>
    <row r="50">
      <c r="A50" s="46" t="inlineStr">
        <is>
          <t>Step 03</t>
        </is>
      </c>
      <c r="B50" s="46" t="inlineStr">
        <is>
          <t>SEC-04</t>
        </is>
      </c>
      <c r="C50" s="46" t="inlineStr">
        <is>
          <t>Feature Classification</t>
        </is>
      </c>
      <c r="D50" s="46" t="inlineStr">
        <is>
          <t>4.2.4</t>
        </is>
      </c>
      <c r="E50" s="46" t="n">
        <v>3</v>
      </c>
      <c r="F50" s="46" t="inlineStr">
        <is>
          <t>Nano</t>
        </is>
      </c>
      <c r="G50" s="47" t="inlineStr">
        <is>
          <t>Leaders offering</t>
        </is>
      </c>
      <c r="H50" s="46" t="inlineStr">
        <is>
          <t>How many of those leaders offer it fully or partly.</t>
        </is>
      </c>
      <c r="I50" s="46" t="inlineStr">
        <is>
          <t>integer</t>
        </is>
      </c>
      <c r="J50" s="46" t="inlineStr">
        <is>
          <t>derived</t>
        </is>
      </c>
      <c r="K50" s="46" t="inlineStr">
        <is>
          <t>required</t>
        </is>
      </c>
      <c r="L50" s="46" t="inlineStr">
        <is>
          <t>0 to leaders studied</t>
        </is>
      </c>
      <c r="M50" s="46" t="inlineStr">
        <is>
          <t>3</t>
        </is>
      </c>
      <c r="N50" s="46" t="inlineStr">
        <is>
          <t>feature</t>
        </is>
      </c>
      <c r="O50" s="46" t="inlineStr">
        <is>
          <t>leaders_offering</t>
        </is>
      </c>
    </row>
    <row r="51">
      <c r="A51" s="43" t="inlineStr">
        <is>
          <t>Step 03</t>
        </is>
      </c>
      <c r="B51" s="43" t="inlineStr">
        <is>
          <t>SEC-05</t>
        </is>
      </c>
      <c r="C51" s="43" t="inlineStr">
        <is>
          <t>Competitor Coverage Matrix</t>
        </is>
      </c>
      <c r="D51" s="43" t="inlineStr">
        <is>
          <t>5</t>
        </is>
      </c>
      <c r="E51" s="43" t="n">
        <v>1</v>
      </c>
      <c r="F51" s="43" t="inlineStr">
        <is>
          <t>Macro</t>
        </is>
      </c>
      <c r="G51" s="43" t="inlineStr">
        <is>
          <t>Competitor Coverage Matrix</t>
        </is>
      </c>
      <c r="H51" s="43" t="inlineStr">
        <is>
          <t>Who offers each feature, and where we stand: one row per feature and competitor.</t>
        </is>
      </c>
      <c r="I51" s="43" t="n"/>
      <c r="J51" s="43" t="n"/>
      <c r="K51" s="43" t="n"/>
      <c r="L51" s="43" t="n"/>
      <c r="M51" s="43" t="n"/>
      <c r="N51" s="43" t="inlineStr">
        <is>
          <t>competitor_coverage, feature</t>
        </is>
      </c>
      <c r="O51" s="43" t="n"/>
    </row>
    <row r="52">
      <c r="A52" s="44" t="inlineStr">
        <is>
          <t>Step 03</t>
        </is>
      </c>
      <c r="B52" s="44" t="inlineStr">
        <is>
          <t>SEC-05</t>
        </is>
      </c>
      <c r="C52" s="44" t="inlineStr">
        <is>
          <t>Competitor Coverage Matrix</t>
        </is>
      </c>
      <c r="D52" s="44" t="inlineStr">
        <is>
          <t>5.1</t>
        </is>
      </c>
      <c r="E52" s="44" t="n">
        <v>2</v>
      </c>
      <c r="F52" s="44" t="inlineStr">
        <is>
          <t>Micro</t>
        </is>
      </c>
      <c r="G52" s="45" t="inlineStr">
        <is>
          <t>Matrix cell key</t>
        </is>
      </c>
      <c r="H52" s="44" t="inlineStr">
        <is>
          <t>Which feature and which competitor the cell is about.</t>
        </is>
      </c>
      <c r="I52" s="44" t="n"/>
      <c r="J52" s="44" t="n"/>
      <c r="K52" s="44" t="n"/>
      <c r="L52" s="44" t="n"/>
      <c r="M52" s="44" t="n"/>
      <c r="N52" s="44" t="inlineStr">
        <is>
          <t>competitor_coverage</t>
        </is>
      </c>
      <c r="O52" s="44" t="inlineStr">
        <is>
          <t>(2 columns)</t>
        </is>
      </c>
    </row>
    <row r="53">
      <c r="A53" s="46" t="inlineStr">
        <is>
          <t>Step 03</t>
        </is>
      </c>
      <c r="B53" s="46" t="inlineStr">
        <is>
          <t>SEC-05</t>
        </is>
      </c>
      <c r="C53" s="46" t="inlineStr">
        <is>
          <t>Competitor Coverage Matrix</t>
        </is>
      </c>
      <c r="D53" s="46" t="inlineStr">
        <is>
          <t>5.1.1</t>
        </is>
      </c>
      <c r="E53" s="46" t="n">
        <v>3</v>
      </c>
      <c r="F53" s="46" t="inlineStr">
        <is>
          <t>Nano</t>
        </is>
      </c>
      <c r="G53" s="47" t="inlineStr">
        <is>
          <t>Feature id</t>
        </is>
      </c>
      <c r="H53" s="46" t="inlineStr">
        <is>
          <t>The feature in this cell.</t>
        </is>
      </c>
      <c r="I53" s="46" t="inlineStr">
        <is>
          <t>reference</t>
        </is>
      </c>
      <c r="J53" s="46" t="inlineStr">
        <is>
          <t>atomic</t>
        </is>
      </c>
      <c r="K53" s="46" t="inlineStr">
        <is>
          <t>required</t>
        </is>
      </c>
      <c r="L53" s="46" t="inlineStr">
        <is>
          <t>an existing feature_id</t>
        </is>
      </c>
      <c r="M53" s="46" t="inlineStr">
        <is>
          <t>FD-001</t>
        </is>
      </c>
      <c r="N53" s="46" t="inlineStr">
        <is>
          <t>competitor_coverage</t>
        </is>
      </c>
      <c r="O53" s="46" t="inlineStr">
        <is>
          <t>feature_id</t>
        </is>
      </c>
    </row>
    <row r="54">
      <c r="A54" s="46" t="inlineStr">
        <is>
          <t>Step 03</t>
        </is>
      </c>
      <c r="B54" s="46" t="inlineStr">
        <is>
          <t>SEC-05</t>
        </is>
      </c>
      <c r="C54" s="46" t="inlineStr">
        <is>
          <t>Competitor Coverage Matrix</t>
        </is>
      </c>
      <c r="D54" s="46" t="inlineStr">
        <is>
          <t>5.1.2</t>
        </is>
      </c>
      <c r="E54" s="46" t="n">
        <v>3</v>
      </c>
      <c r="F54" s="46" t="inlineStr">
        <is>
          <t>Nano</t>
        </is>
      </c>
      <c r="G54" s="47" t="inlineStr">
        <is>
          <t>Competitor id</t>
        </is>
      </c>
      <c r="H54" s="46" t="inlineStr">
        <is>
          <t>The competitor in this cell.</t>
        </is>
      </c>
      <c r="I54" s="46" t="inlineStr">
        <is>
          <t>reference</t>
        </is>
      </c>
      <c r="J54" s="46" t="inlineStr">
        <is>
          <t>atomic</t>
        </is>
      </c>
      <c r="K54" s="46" t="inlineStr">
        <is>
          <t>required</t>
        </is>
      </c>
      <c r="L54" s="46" t="inlineStr">
        <is>
          <t>an existing competitor_id</t>
        </is>
      </c>
      <c r="M54" s="46" t="inlineStr">
        <is>
          <t>COMP-03</t>
        </is>
      </c>
      <c r="N54" s="46" t="inlineStr">
        <is>
          <t>competitor_coverage</t>
        </is>
      </c>
      <c r="O54" s="46" t="inlineStr">
        <is>
          <t>competitor_id</t>
        </is>
      </c>
    </row>
    <row r="55">
      <c r="A55" s="44" t="inlineStr">
        <is>
          <t>Step 03</t>
        </is>
      </c>
      <c r="B55" s="44" t="inlineStr">
        <is>
          <t>SEC-05</t>
        </is>
      </c>
      <c r="C55" s="44" t="inlineStr">
        <is>
          <t>Competitor Coverage Matrix</t>
        </is>
      </c>
      <c r="D55" s="44" t="inlineStr">
        <is>
          <t>5.2</t>
        </is>
      </c>
      <c r="E55" s="44" t="n">
        <v>2</v>
      </c>
      <c r="F55" s="44" t="inlineStr">
        <is>
          <t>Micro</t>
        </is>
      </c>
      <c r="G55" s="45" t="inlineStr">
        <is>
          <t>Offering</t>
        </is>
      </c>
      <c r="H55" s="44" t="inlineStr">
        <is>
          <t>Whether the competitor offers the feature.</t>
        </is>
      </c>
      <c r="I55" s="44" t="n"/>
      <c r="J55" s="44" t="n"/>
      <c r="K55" s="44" t="n"/>
      <c r="L55" s="44" t="n"/>
      <c r="M55" s="44" t="n"/>
      <c r="N55" s="44" t="inlineStr">
        <is>
          <t>competitor_coverage</t>
        </is>
      </c>
      <c r="O55" s="44" t="inlineStr">
        <is>
          <t>(2 columns)</t>
        </is>
      </c>
    </row>
    <row r="56">
      <c r="A56" s="46" t="inlineStr">
        <is>
          <t>Step 03</t>
        </is>
      </c>
      <c r="B56" s="46" t="inlineStr">
        <is>
          <t>SEC-05</t>
        </is>
      </c>
      <c r="C56" s="46" t="inlineStr">
        <is>
          <t>Competitor Coverage Matrix</t>
        </is>
      </c>
      <c r="D56" s="46" t="inlineStr">
        <is>
          <t>5.2.1</t>
        </is>
      </c>
      <c r="E56" s="46" t="n">
        <v>3</v>
      </c>
      <c r="F56" s="46" t="inlineStr">
        <is>
          <t>Nano</t>
        </is>
      </c>
      <c r="G56" s="47" t="inlineStr">
        <is>
          <t>Offering</t>
        </is>
      </c>
      <c r="H56" s="46" t="inlineStr">
        <is>
          <t>Yes, partial, no or not verified.</t>
        </is>
      </c>
      <c r="I56" s="46" t="inlineStr">
        <is>
          <t>enum</t>
        </is>
      </c>
      <c r="J56" s="46" t="inlineStr">
        <is>
          <t>atomic</t>
        </is>
      </c>
      <c r="K56" s="46" t="inlineStr">
        <is>
          <t>required</t>
        </is>
      </c>
      <c r="L56" s="46" t="inlineStr">
        <is>
          <t>list: CellValue</t>
        </is>
      </c>
      <c r="M56" s="46" t="inlineStr">
        <is>
          <t>Yes</t>
        </is>
      </c>
      <c r="N56" s="46" t="inlineStr">
        <is>
          <t>competitor_coverage</t>
        </is>
      </c>
      <c r="O56" s="46" t="inlineStr">
        <is>
          <t>offering</t>
        </is>
      </c>
    </row>
    <row r="57">
      <c r="A57" s="46" t="inlineStr">
        <is>
          <t>Step 03</t>
        </is>
      </c>
      <c r="B57" s="46" t="inlineStr">
        <is>
          <t>SEC-05</t>
        </is>
      </c>
      <c r="C57" s="46" t="inlineStr">
        <is>
          <t>Competitor Coverage Matrix</t>
        </is>
      </c>
      <c r="D57" s="46" t="inlineStr">
        <is>
          <t>5.2.2</t>
        </is>
      </c>
      <c r="E57" s="46" t="n">
        <v>3</v>
      </c>
      <c r="F57" s="46" t="inlineStr">
        <is>
          <t>Nano</t>
        </is>
      </c>
      <c r="G57" s="47" t="inlineStr">
        <is>
          <t>Offering note</t>
        </is>
      </c>
      <c r="H57" s="46" t="inlineStr">
        <is>
          <t>A short note, such as a paid-plan limit.</t>
        </is>
      </c>
      <c r="I57" s="46" t="inlineStr">
        <is>
          <t>text</t>
        </is>
      </c>
      <c r="J57" s="46" t="inlineStr">
        <is>
          <t>atomic</t>
        </is>
      </c>
      <c r="K57" s="46" t="inlineStr">
        <is>
          <t>optional</t>
        </is>
      </c>
      <c r="L57" s="46" t="inlineStr">
        <is>
          <t>0 to 300 characters</t>
        </is>
      </c>
      <c r="M57" s="46" t="inlineStr">
        <is>
          <t>Only on the paid plan</t>
        </is>
      </c>
      <c r="N57" s="46" t="inlineStr">
        <is>
          <t>competitor_coverage</t>
        </is>
      </c>
      <c r="O57" s="46" t="inlineStr">
        <is>
          <t>offering_note</t>
        </is>
      </c>
    </row>
    <row r="58">
      <c r="A58" s="44" t="inlineStr">
        <is>
          <t>Step 03</t>
        </is>
      </c>
      <c r="B58" s="44" t="inlineStr">
        <is>
          <t>SEC-05</t>
        </is>
      </c>
      <c r="C58" s="44" t="inlineStr">
        <is>
          <t>Competitor Coverage Matrix</t>
        </is>
      </c>
      <c r="D58" s="44" t="inlineStr">
        <is>
          <t>5.3</t>
        </is>
      </c>
      <c r="E58" s="44" t="n">
        <v>2</v>
      </c>
      <c r="F58" s="44" t="inlineStr">
        <is>
          <t>Micro</t>
        </is>
      </c>
      <c r="G58" s="45" t="inlineStr">
        <is>
          <t>Evidence</t>
        </is>
      </c>
      <c r="H58" s="44" t="inlineStr">
        <is>
          <t>What the cell is based on.</t>
        </is>
      </c>
      <c r="I58" s="44" t="n"/>
      <c r="J58" s="44" t="n"/>
      <c r="K58" s="44" t="n"/>
      <c r="L58" s="44" t="n"/>
      <c r="M58" s="44" t="n"/>
      <c r="N58" s="44" t="inlineStr">
        <is>
          <t>competitor_coverage</t>
        </is>
      </c>
      <c r="O58" s="44" t="inlineStr">
        <is>
          <t>(3 columns)</t>
        </is>
      </c>
    </row>
    <row r="59">
      <c r="A59" s="46" t="inlineStr">
        <is>
          <t>Step 03</t>
        </is>
      </c>
      <c r="B59" s="46" t="inlineStr">
        <is>
          <t>SEC-05</t>
        </is>
      </c>
      <c r="C59" s="46" t="inlineStr">
        <is>
          <t>Competitor Coverage Matrix</t>
        </is>
      </c>
      <c r="D59" s="46" t="inlineStr">
        <is>
          <t>5.3.1</t>
        </is>
      </c>
      <c r="E59" s="46" t="n">
        <v>3</v>
      </c>
      <c r="F59" s="46" t="inlineStr">
        <is>
          <t>Nano</t>
        </is>
      </c>
      <c r="G59" s="47" t="inlineStr">
        <is>
          <t>Evidence type</t>
        </is>
      </c>
      <c r="H59" s="46" t="inlineStr">
        <is>
          <t>Page read, search summary, register text and so on.</t>
        </is>
      </c>
      <c r="I59" s="46" t="inlineStr">
        <is>
          <t>enum</t>
        </is>
      </c>
      <c r="J59" s="46" t="inlineStr">
        <is>
          <t>atomic</t>
        </is>
      </c>
      <c r="K59" s="46" t="inlineStr">
        <is>
          <t>required</t>
        </is>
      </c>
      <c r="L59" s="46" t="inlineStr">
        <is>
          <t>list: EvidenceType</t>
        </is>
      </c>
      <c r="M59" s="46" t="inlineStr">
        <is>
          <t>Page read</t>
        </is>
      </c>
      <c r="N59" s="46" t="inlineStr">
        <is>
          <t>competitor_coverage</t>
        </is>
      </c>
      <c r="O59" s="46" t="inlineStr">
        <is>
          <t>evidence_type</t>
        </is>
      </c>
    </row>
    <row r="60">
      <c r="A60" s="46" t="inlineStr">
        <is>
          <t>Step 03</t>
        </is>
      </c>
      <c r="B60" s="46" t="inlineStr">
        <is>
          <t>SEC-05</t>
        </is>
      </c>
      <c r="C60" s="46" t="inlineStr">
        <is>
          <t>Competitor Coverage Matrix</t>
        </is>
      </c>
      <c r="D60" s="46" t="inlineStr">
        <is>
          <t>5.3.2</t>
        </is>
      </c>
      <c r="E60" s="46" t="n">
        <v>3</v>
      </c>
      <c r="F60" s="46" t="inlineStr">
        <is>
          <t>Nano</t>
        </is>
      </c>
      <c r="G60" s="47" t="inlineStr">
        <is>
          <t>Evidence source</t>
        </is>
      </c>
      <c r="H60" s="46" t="inlineStr">
        <is>
          <t>The page or register row.</t>
        </is>
      </c>
      <c r="I60" s="46" t="inlineStr">
        <is>
          <t>text</t>
        </is>
      </c>
      <c r="J60" s="46" t="inlineStr">
        <is>
          <t>atomic</t>
        </is>
      </c>
      <c r="K60" s="46" t="inlineStr">
        <is>
          <t>required</t>
        </is>
      </c>
      <c r="L60" s="46" t="inlineStr">
        <is>
          <t>1 to 300 characters</t>
        </is>
      </c>
      <c r="M60" s="46" t="inlineStr">
        <is>
          <t>Naukri help page: resume headline</t>
        </is>
      </c>
      <c r="N60" s="46" t="inlineStr">
        <is>
          <t>competitor_coverage</t>
        </is>
      </c>
      <c r="O60" s="46" t="inlineStr">
        <is>
          <t>evidence_source</t>
        </is>
      </c>
    </row>
    <row r="61">
      <c r="A61" s="46" t="inlineStr">
        <is>
          <t>Step 03</t>
        </is>
      </c>
      <c r="B61" s="46" t="inlineStr">
        <is>
          <t>SEC-05</t>
        </is>
      </c>
      <c r="C61" s="46" t="inlineStr">
        <is>
          <t>Competitor Coverage Matrix</t>
        </is>
      </c>
      <c r="D61" s="46" t="inlineStr">
        <is>
          <t>5.3.3</t>
        </is>
      </c>
      <c r="E61" s="46" t="n">
        <v>3</v>
      </c>
      <c r="F61" s="46" t="inlineStr">
        <is>
          <t>Nano</t>
        </is>
      </c>
      <c r="G61" s="47" t="inlineStr">
        <is>
          <t>Checked on</t>
        </is>
      </c>
      <c r="H61" s="46" t="inlineStr">
        <is>
          <t>The day the evidence was checked.</t>
        </is>
      </c>
      <c r="I61" s="46" t="inlineStr">
        <is>
          <t>date</t>
        </is>
      </c>
      <c r="J61" s="46" t="inlineStr">
        <is>
          <t>atomic</t>
        </is>
      </c>
      <c r="K61" s="46" t="inlineStr">
        <is>
          <t>optional</t>
        </is>
      </c>
      <c r="L61" s="46" t="inlineStr">
        <is>
          <t>date, not in the future</t>
        </is>
      </c>
      <c r="M61" s="46" t="inlineStr">
        <is>
          <t>2026-10-16</t>
        </is>
      </c>
      <c r="N61" s="46" t="inlineStr">
        <is>
          <t>competitor_coverage</t>
        </is>
      </c>
      <c r="O61" s="46" t="inlineStr">
        <is>
          <t>checked_on</t>
        </is>
      </c>
    </row>
    <row r="62">
      <c r="A62" s="44" t="inlineStr">
        <is>
          <t>Step 03</t>
        </is>
      </c>
      <c r="B62" s="44" t="inlineStr">
        <is>
          <t>SEC-05</t>
        </is>
      </c>
      <c r="C62" s="44" t="inlineStr">
        <is>
          <t>Competitor Coverage Matrix</t>
        </is>
      </c>
      <c r="D62" s="44" t="inlineStr">
        <is>
          <t>5.4</t>
        </is>
      </c>
      <c r="E62" s="44" t="n">
        <v>2</v>
      </c>
      <c r="F62" s="44" t="inlineStr">
        <is>
          <t>Micro</t>
        </is>
      </c>
      <c r="G62" s="45" t="inlineStr">
        <is>
          <t>Our position</t>
        </is>
      </c>
      <c r="H62" s="44" t="inlineStr">
        <is>
          <t>How our product compares for this feature.</t>
        </is>
      </c>
      <c r="I62" s="44" t="n"/>
      <c r="J62" s="44" t="n"/>
      <c r="K62" s="44" t="n"/>
      <c r="L62" s="44" t="n"/>
      <c r="M62" s="44" t="n"/>
      <c r="N62" s="44" t="inlineStr">
        <is>
          <t>feature</t>
        </is>
      </c>
      <c r="O62" s="44" t="inlineStr">
        <is>
          <t>(2 columns)</t>
        </is>
      </c>
    </row>
    <row r="63">
      <c r="A63" s="46" t="inlineStr">
        <is>
          <t>Step 03</t>
        </is>
      </c>
      <c r="B63" s="46" t="inlineStr">
        <is>
          <t>SEC-05</t>
        </is>
      </c>
      <c r="C63" s="46" t="inlineStr">
        <is>
          <t>Competitor Coverage Matrix</t>
        </is>
      </c>
      <c r="D63" s="46" t="inlineStr">
        <is>
          <t>5.4.1</t>
        </is>
      </c>
      <c r="E63" s="46" t="n">
        <v>3</v>
      </c>
      <c r="F63" s="46" t="inlineStr">
        <is>
          <t>Nano</t>
        </is>
      </c>
      <c r="G63" s="47" t="inlineStr">
        <is>
          <t>Our coverage</t>
        </is>
      </c>
      <c r="H63" s="46" t="inlineStr">
        <is>
          <t>Built and tested, built, planned, not built or left out.</t>
        </is>
      </c>
      <c r="I63" s="46" t="inlineStr">
        <is>
          <t>enum</t>
        </is>
      </c>
      <c r="J63" s="46" t="inlineStr">
        <is>
          <t>atomic</t>
        </is>
      </c>
      <c r="K63" s="46" t="inlineStr">
        <is>
          <t>required</t>
        </is>
      </c>
      <c r="L63" s="46" t="inlineStr">
        <is>
          <t>list: OurCoverage</t>
        </is>
      </c>
      <c r="M63" s="46" t="inlineStr">
        <is>
          <t>Built and tested</t>
        </is>
      </c>
      <c r="N63" s="46" t="inlineStr">
        <is>
          <t>feature</t>
        </is>
      </c>
      <c r="O63" s="46" t="inlineStr">
        <is>
          <t>our_coverage</t>
        </is>
      </c>
    </row>
    <row r="64">
      <c r="A64" s="46" t="inlineStr">
        <is>
          <t>Step 03</t>
        </is>
      </c>
      <c r="B64" s="46" t="inlineStr">
        <is>
          <t>SEC-05</t>
        </is>
      </c>
      <c r="C64" s="46" t="inlineStr">
        <is>
          <t>Competitor Coverage Matrix</t>
        </is>
      </c>
      <c r="D64" s="46" t="inlineStr">
        <is>
          <t>5.4.2</t>
        </is>
      </c>
      <c r="E64" s="46" t="n">
        <v>3</v>
      </c>
      <c r="F64" s="46" t="inlineStr">
        <is>
          <t>Nano</t>
        </is>
      </c>
      <c r="G64" s="47" t="inlineStr">
        <is>
          <t>Verdict</t>
        </is>
      </c>
      <c r="H64" s="46" t="inlineStr">
        <is>
          <t>Matches, exceeds, falls short, planned or not compared.</t>
        </is>
      </c>
      <c r="I64" s="46" t="inlineStr">
        <is>
          <t>enum</t>
        </is>
      </c>
      <c r="J64" s="46" t="inlineStr">
        <is>
          <t>atomic</t>
        </is>
      </c>
      <c r="K64" s="46" t="inlineStr">
        <is>
          <t>required</t>
        </is>
      </c>
      <c r="L64" s="46" t="inlineStr">
        <is>
          <t>list: Verdict</t>
        </is>
      </c>
      <c r="M64" s="46" t="inlineStr">
        <is>
          <t>Matches</t>
        </is>
      </c>
      <c r="N64" s="46" t="inlineStr">
        <is>
          <t>feature</t>
        </is>
      </c>
      <c r="O64" s="46" t="inlineStr">
        <is>
          <t>verdict</t>
        </is>
      </c>
    </row>
    <row r="65">
      <c r="A65" s="43" t="inlineStr">
        <is>
          <t>Step 03</t>
        </is>
      </c>
      <c r="B65" s="43" t="inlineStr">
        <is>
          <t>SEC-06</t>
        </is>
      </c>
      <c r="C65" s="43" t="inlineStr">
        <is>
          <t>Requirement Trace</t>
        </is>
      </c>
      <c r="D65" s="43" t="inlineStr">
        <is>
          <t>6</t>
        </is>
      </c>
      <c r="E65" s="43" t="n">
        <v>1</v>
      </c>
      <c r="F65" s="43" t="inlineStr">
        <is>
          <t>Macro</t>
        </is>
      </c>
      <c r="G65" s="43" t="inlineStr">
        <is>
          <t>Requirement Trace</t>
        </is>
      </c>
      <c r="H65" s="43" t="inlineStr">
        <is>
          <t>Every feature traces to a requirement or is flagged as a new insight.</t>
        </is>
      </c>
      <c r="I65" s="43" t="n"/>
      <c r="J65" s="43" t="n"/>
      <c r="K65" s="43" t="n"/>
      <c r="L65" s="43" t="n"/>
      <c r="M65" s="43" t="n"/>
      <c r="N65" s="43" t="inlineStr">
        <is>
          <t>feature_requirement, feature</t>
        </is>
      </c>
      <c r="O65" s="43" t="n"/>
    </row>
    <row r="66">
      <c r="A66" s="44" t="inlineStr">
        <is>
          <t>Step 03</t>
        </is>
      </c>
      <c r="B66" s="44" t="inlineStr">
        <is>
          <t>SEC-06</t>
        </is>
      </c>
      <c r="C66" s="44" t="inlineStr">
        <is>
          <t>Requirement Trace</t>
        </is>
      </c>
      <c r="D66" s="44" t="inlineStr">
        <is>
          <t>6.1</t>
        </is>
      </c>
      <c r="E66" s="44" t="n">
        <v>2</v>
      </c>
      <c r="F66" s="44" t="inlineStr">
        <is>
          <t>Micro</t>
        </is>
      </c>
      <c r="G66" s="45" t="inlineStr">
        <is>
          <t>Requirement link</t>
        </is>
      </c>
      <c r="H66" s="44" t="inlineStr">
        <is>
          <t>Which requirement the feature is built under.</t>
        </is>
      </c>
      <c r="I66" s="44" t="n"/>
      <c r="J66" s="44" t="n"/>
      <c r="K66" s="44" t="n"/>
      <c r="L66" s="44" t="n"/>
      <c r="M66" s="44" t="n"/>
      <c r="N66" s="44" t="inlineStr">
        <is>
          <t>feature_requirement</t>
        </is>
      </c>
      <c r="O66" s="44" t="inlineStr">
        <is>
          <t>(3 columns)</t>
        </is>
      </c>
    </row>
    <row r="67">
      <c r="A67" s="46" t="inlineStr">
        <is>
          <t>Step 03</t>
        </is>
      </c>
      <c r="B67" s="46" t="inlineStr">
        <is>
          <t>SEC-06</t>
        </is>
      </c>
      <c r="C67" s="46" t="inlineStr">
        <is>
          <t>Requirement Trace</t>
        </is>
      </c>
      <c r="D67" s="46" t="inlineStr">
        <is>
          <t>6.1.1</t>
        </is>
      </c>
      <c r="E67" s="46" t="n">
        <v>3</v>
      </c>
      <c r="F67" s="46" t="inlineStr">
        <is>
          <t>Nano</t>
        </is>
      </c>
      <c r="G67" s="47" t="inlineStr">
        <is>
          <t>Feature id</t>
        </is>
      </c>
      <c r="H67" s="46" t="inlineStr">
        <is>
          <t>The feature that is linked.</t>
        </is>
      </c>
      <c r="I67" s="46" t="inlineStr">
        <is>
          <t>reference</t>
        </is>
      </c>
      <c r="J67" s="46" t="inlineStr">
        <is>
          <t>atomic</t>
        </is>
      </c>
      <c r="K67" s="46" t="inlineStr">
        <is>
          <t>required</t>
        </is>
      </c>
      <c r="L67" s="46" t="inlineStr">
        <is>
          <t>an existing feature_id</t>
        </is>
      </c>
      <c r="M67" s="46" t="inlineStr">
        <is>
          <t>FD-001</t>
        </is>
      </c>
      <c r="N67" s="46" t="inlineStr">
        <is>
          <t>feature_requirement</t>
        </is>
      </c>
      <c r="O67" s="46" t="inlineStr">
        <is>
          <t>feature_id</t>
        </is>
      </c>
    </row>
    <row r="68">
      <c r="A68" s="46" t="inlineStr">
        <is>
          <t>Step 03</t>
        </is>
      </c>
      <c r="B68" s="46" t="inlineStr">
        <is>
          <t>SEC-06</t>
        </is>
      </c>
      <c r="C68" s="46" t="inlineStr">
        <is>
          <t>Requirement Trace</t>
        </is>
      </c>
      <c r="D68" s="46" t="inlineStr">
        <is>
          <t>6.1.2</t>
        </is>
      </c>
      <c r="E68" s="46" t="n">
        <v>3</v>
      </c>
      <c r="F68" s="46" t="inlineStr">
        <is>
          <t>Nano</t>
        </is>
      </c>
      <c r="G68" s="47" t="inlineStr">
        <is>
          <t>Requirement id</t>
        </is>
      </c>
      <c r="H68" s="46" t="inlineStr">
        <is>
          <t>The functional or non-functional requirement.</t>
        </is>
      </c>
      <c r="I68" s="46" t="inlineStr">
        <is>
          <t>text</t>
        </is>
      </c>
      <c r="J68" s="46" t="inlineStr">
        <is>
          <t>atomic</t>
        </is>
      </c>
      <c r="K68" s="46" t="inlineStr">
        <is>
          <t>required</t>
        </is>
      </c>
      <c r="L68" s="46" t="inlineStr">
        <is>
          <t>pattern FR-xxx or NFR-nn</t>
        </is>
      </c>
      <c r="M68" s="46" t="inlineStr">
        <is>
          <t>FR-P03</t>
        </is>
      </c>
      <c r="N68" s="46" t="inlineStr">
        <is>
          <t>feature_requirement</t>
        </is>
      </c>
      <c r="O68" s="46" t="inlineStr">
        <is>
          <t>requirement_id</t>
        </is>
      </c>
    </row>
    <row r="69">
      <c r="A69" s="46" t="inlineStr">
        <is>
          <t>Step 03</t>
        </is>
      </c>
      <c r="B69" s="46" t="inlineStr">
        <is>
          <t>SEC-06</t>
        </is>
      </c>
      <c r="C69" s="46" t="inlineStr">
        <is>
          <t>Requirement Trace</t>
        </is>
      </c>
      <c r="D69" s="46" t="inlineStr">
        <is>
          <t>6.1.3</t>
        </is>
      </c>
      <c r="E69" s="46" t="n">
        <v>3</v>
      </c>
      <c r="F69" s="46" t="inlineStr">
        <is>
          <t>Nano</t>
        </is>
      </c>
      <c r="G69" s="47" t="inlineStr">
        <is>
          <t>Relationship</t>
        </is>
      </c>
      <c r="H69" s="46" t="inlineStr">
        <is>
          <t>Implemented by, or only related to.</t>
        </is>
      </c>
      <c r="I69" s="46" t="inlineStr">
        <is>
          <t>enum</t>
        </is>
      </c>
      <c r="J69" s="46" t="inlineStr">
        <is>
          <t>atomic</t>
        </is>
      </c>
      <c r="K69" s="46" t="inlineStr">
        <is>
          <t>required</t>
        </is>
      </c>
      <c r="L69" s="46" t="inlineStr">
        <is>
          <t>list: Relationship</t>
        </is>
      </c>
      <c r="M69" s="46" t="inlineStr">
        <is>
          <t>Implemented by</t>
        </is>
      </c>
      <c r="N69" s="46" t="inlineStr">
        <is>
          <t>feature_requirement</t>
        </is>
      </c>
      <c r="O69" s="46" t="inlineStr">
        <is>
          <t>relationship</t>
        </is>
      </c>
    </row>
    <row r="70">
      <c r="A70" s="44" t="inlineStr">
        <is>
          <t>Step 03</t>
        </is>
      </c>
      <c r="B70" s="44" t="inlineStr">
        <is>
          <t>SEC-06</t>
        </is>
      </c>
      <c r="C70" s="44" t="inlineStr">
        <is>
          <t>Requirement Trace</t>
        </is>
      </c>
      <c r="D70" s="44" t="inlineStr">
        <is>
          <t>6.2</t>
        </is>
      </c>
      <c r="E70" s="44" t="n">
        <v>2</v>
      </c>
      <c r="F70" s="44" t="inlineStr">
        <is>
          <t>Micro</t>
        </is>
      </c>
      <c r="G70" s="45" t="inlineStr">
        <is>
          <t>Trace result</t>
        </is>
      </c>
      <c r="H70" s="44" t="inlineStr">
        <is>
          <t>The outcome of the gate for this feature.</t>
        </is>
      </c>
      <c r="I70" s="44" t="n"/>
      <c r="J70" s="44" t="n"/>
      <c r="K70" s="44" t="n"/>
      <c r="L70" s="44" t="n"/>
      <c r="M70" s="44" t="n"/>
      <c r="N70" s="44" t="inlineStr">
        <is>
          <t>feature</t>
        </is>
      </c>
      <c r="O70" s="44" t="inlineStr">
        <is>
          <t>(2 columns)</t>
        </is>
      </c>
    </row>
    <row r="71">
      <c r="A71" s="46" t="inlineStr">
        <is>
          <t>Step 03</t>
        </is>
      </c>
      <c r="B71" s="46" t="inlineStr">
        <is>
          <t>SEC-06</t>
        </is>
      </c>
      <c r="C71" s="46" t="inlineStr">
        <is>
          <t>Requirement Trace</t>
        </is>
      </c>
      <c r="D71" s="46" t="inlineStr">
        <is>
          <t>6.2.1</t>
        </is>
      </c>
      <c r="E71" s="46" t="n">
        <v>3</v>
      </c>
      <c r="F71" s="46" t="inlineStr">
        <is>
          <t>Nano</t>
        </is>
      </c>
      <c r="G71" s="47" t="inlineStr">
        <is>
          <t>Trace status</t>
        </is>
      </c>
      <c r="H71" s="46" t="inlineStr">
        <is>
          <t>Traced when at least one Implemented by link exists, otherwise New insight.</t>
        </is>
      </c>
      <c r="I71" s="46" t="inlineStr">
        <is>
          <t>enum</t>
        </is>
      </c>
      <c r="J71" s="46" t="inlineStr">
        <is>
          <t>derived</t>
        </is>
      </c>
      <c r="K71" s="46" t="inlineStr">
        <is>
          <t>required</t>
        </is>
      </c>
      <c r="L71" s="46" t="inlineStr">
        <is>
          <t>list: TraceState</t>
        </is>
      </c>
      <c r="M71" s="46" t="inlineStr">
        <is>
          <t>Traced</t>
        </is>
      </c>
      <c r="N71" s="46" t="inlineStr">
        <is>
          <t>feature</t>
        </is>
      </c>
      <c r="O71" s="46" t="inlineStr">
        <is>
          <t>trace_status</t>
        </is>
      </c>
    </row>
    <row r="72">
      <c r="A72" s="46" t="inlineStr">
        <is>
          <t>Step 03</t>
        </is>
      </c>
      <c r="B72" s="46" t="inlineStr">
        <is>
          <t>SEC-06</t>
        </is>
      </c>
      <c r="C72" s="46" t="inlineStr">
        <is>
          <t>Requirement Trace</t>
        </is>
      </c>
      <c r="D72" s="46" t="inlineStr">
        <is>
          <t>6.2.2</t>
        </is>
      </c>
      <c r="E72" s="46" t="n">
        <v>3</v>
      </c>
      <c r="F72" s="46" t="inlineStr">
        <is>
          <t>Nano</t>
        </is>
      </c>
      <c r="G72" s="47" t="inlineStr">
        <is>
          <t>New insight reason</t>
        </is>
      </c>
      <c r="H72" s="46" t="inlineStr">
        <is>
          <t>Why a requirement is missing for this feature.</t>
        </is>
      </c>
      <c r="I72" s="46" t="inlineStr">
        <is>
          <t>text</t>
        </is>
      </c>
      <c r="J72" s="46" t="inlineStr">
        <is>
          <t>atomic</t>
        </is>
      </c>
      <c r="K72" s="46" t="inlineStr">
        <is>
          <t>conditional</t>
        </is>
      </c>
      <c r="L72" s="46" t="inlineStr">
        <is>
          <t>required when status is New insight</t>
        </is>
      </c>
      <c r="M72" s="46" t="inlineStr">
        <is>
          <t>Competitor has it and we have no requirement</t>
        </is>
      </c>
      <c r="N72" s="46" t="inlineStr">
        <is>
          <t>feature</t>
        </is>
      </c>
      <c r="O72" s="46" t="inlineStr">
        <is>
          <t>new_insight_reason</t>
        </is>
      </c>
    </row>
    <row r="73">
      <c r="A73" s="44" t="inlineStr">
        <is>
          <t>Step 03</t>
        </is>
      </c>
      <c r="B73" s="44" t="inlineStr">
        <is>
          <t>SEC-06</t>
        </is>
      </c>
      <c r="C73" s="44" t="inlineStr">
        <is>
          <t>Requirement Trace</t>
        </is>
      </c>
      <c r="D73" s="44" t="inlineStr">
        <is>
          <t>6.3</t>
        </is>
      </c>
      <c r="E73" s="44" t="n">
        <v>2</v>
      </c>
      <c r="F73" s="44" t="inlineStr">
        <is>
          <t>Micro</t>
        </is>
      </c>
      <c r="G73" s="45" t="inlineStr">
        <is>
          <t>Built where</t>
        </is>
      </c>
      <c r="H73" s="44" t="inlineStr">
        <is>
          <t>Where the feature lives in the database and how well it is tested.</t>
        </is>
      </c>
      <c r="I73" s="44" t="n"/>
      <c r="J73" s="44" t="n"/>
      <c r="K73" s="44" t="n"/>
      <c r="L73" s="44" t="n"/>
      <c r="M73" s="44" t="n"/>
      <c r="N73" s="44" t="inlineStr">
        <is>
          <t>feature</t>
        </is>
      </c>
      <c r="O73" s="44" t="inlineStr">
        <is>
          <t>(6 columns)</t>
        </is>
      </c>
    </row>
    <row r="74">
      <c r="A74" s="46" t="inlineStr">
        <is>
          <t>Step 03</t>
        </is>
      </c>
      <c r="B74" s="46" t="inlineStr">
        <is>
          <t>SEC-06</t>
        </is>
      </c>
      <c r="C74" s="46" t="inlineStr">
        <is>
          <t>Requirement Trace</t>
        </is>
      </c>
      <c r="D74" s="46" t="inlineStr">
        <is>
          <t>6.3.1</t>
        </is>
      </c>
      <c r="E74" s="46" t="n">
        <v>3</v>
      </c>
      <c r="F74" s="46" t="inlineStr">
        <is>
          <t>Nano</t>
        </is>
      </c>
      <c r="G74" s="47" t="inlineStr">
        <is>
          <t>Modules</t>
        </is>
      </c>
      <c r="H74" s="46" t="inlineStr">
        <is>
          <t>The database modules that implement it.</t>
        </is>
      </c>
      <c r="I74" s="46" t="inlineStr">
        <is>
          <t>text</t>
        </is>
      </c>
      <c r="J74" s="46" t="inlineStr">
        <is>
          <t>atomic</t>
        </is>
      </c>
      <c r="K74" s="46" t="inlineStr">
        <is>
          <t>optional</t>
        </is>
      </c>
      <c r="L74" s="46" t="inlineStr">
        <is>
          <t>comma separated names</t>
        </is>
      </c>
      <c r="M74" s="46" t="inlineStr">
        <is>
          <t>Profile</t>
        </is>
      </c>
      <c r="N74" s="46" t="inlineStr">
        <is>
          <t>feature</t>
        </is>
      </c>
      <c r="O74" s="46" t="inlineStr">
        <is>
          <t>modules</t>
        </is>
      </c>
    </row>
    <row r="75">
      <c r="A75" s="46" t="inlineStr">
        <is>
          <t>Step 03</t>
        </is>
      </c>
      <c r="B75" s="46" t="inlineStr">
        <is>
          <t>SEC-06</t>
        </is>
      </c>
      <c r="C75" s="46" t="inlineStr">
        <is>
          <t>Requirement Trace</t>
        </is>
      </c>
      <c r="D75" s="46" t="inlineStr">
        <is>
          <t>6.3.2</t>
        </is>
      </c>
      <c r="E75" s="46" t="n">
        <v>3</v>
      </c>
      <c r="F75" s="46" t="inlineStr">
        <is>
          <t>Nano</t>
        </is>
      </c>
      <c r="G75" s="47" t="inlineStr">
        <is>
          <t>Tables used</t>
        </is>
      </c>
      <c r="H75" s="46" t="inlineStr">
        <is>
          <t>The tables that hold its data.</t>
        </is>
      </c>
      <c r="I75" s="46" t="inlineStr">
        <is>
          <t>text</t>
        </is>
      </c>
      <c r="J75" s="46" t="inlineStr">
        <is>
          <t>atomic</t>
        </is>
      </c>
      <c r="K75" s="46" t="inlineStr">
        <is>
          <t>optional</t>
        </is>
      </c>
      <c r="L75" s="46" t="inlineStr">
        <is>
          <t>comma separated table names</t>
        </is>
      </c>
      <c r="M75" s="46" t="inlineStr">
        <is>
          <t>candidate_profile</t>
        </is>
      </c>
      <c r="N75" s="46" t="inlineStr">
        <is>
          <t>feature</t>
        </is>
      </c>
      <c r="O75" s="46" t="inlineStr">
        <is>
          <t>tables_used</t>
        </is>
      </c>
    </row>
    <row r="76">
      <c r="A76" s="46" t="inlineStr">
        <is>
          <t>Step 03</t>
        </is>
      </c>
      <c r="B76" s="46" t="inlineStr">
        <is>
          <t>SEC-06</t>
        </is>
      </c>
      <c r="C76" s="46" t="inlineStr">
        <is>
          <t>Requirement Trace</t>
        </is>
      </c>
      <c r="D76" s="46" t="inlineStr">
        <is>
          <t>6.3.3</t>
        </is>
      </c>
      <c r="E76" s="46" t="n">
        <v>3</v>
      </c>
      <c r="F76" s="46" t="inlineStr">
        <is>
          <t>Nano</t>
        </is>
      </c>
      <c r="G76" s="47" t="inlineStr">
        <is>
          <t>Key columns</t>
        </is>
      </c>
      <c r="H76" s="46" t="inlineStr">
        <is>
          <t>The main columns that carry it.</t>
        </is>
      </c>
      <c r="I76" s="46" t="inlineStr">
        <is>
          <t>text</t>
        </is>
      </c>
      <c r="J76" s="46" t="inlineStr">
        <is>
          <t>atomic</t>
        </is>
      </c>
      <c r="K76" s="46" t="inlineStr">
        <is>
          <t>optional</t>
        </is>
      </c>
      <c r="L76" s="46" t="inlineStr">
        <is>
          <t>comma separated table.column</t>
        </is>
      </c>
      <c r="M76" s="46" t="inlineStr">
        <is>
          <t>candidate_profile.headline</t>
        </is>
      </c>
      <c r="N76" s="46" t="inlineStr">
        <is>
          <t>feature</t>
        </is>
      </c>
      <c r="O76" s="46" t="inlineStr">
        <is>
          <t>key_columns</t>
        </is>
      </c>
    </row>
    <row r="77">
      <c r="A77" s="46" t="inlineStr">
        <is>
          <t>Step 03</t>
        </is>
      </c>
      <c r="B77" s="46" t="inlineStr">
        <is>
          <t>SEC-06</t>
        </is>
      </c>
      <c r="C77" s="46" t="inlineStr">
        <is>
          <t>Requirement Trace</t>
        </is>
      </c>
      <c r="D77" s="46" t="inlineStr">
        <is>
          <t>6.3.4</t>
        </is>
      </c>
      <c r="E77" s="46" t="n">
        <v>3</v>
      </c>
      <c r="F77" s="46" t="inlineStr">
        <is>
          <t>Nano</t>
        </is>
      </c>
      <c r="G77" s="47" t="inlineStr">
        <is>
          <t>Decision ids</t>
        </is>
      </c>
      <c r="H77" s="46" t="inlineStr">
        <is>
          <t>The decisions in the decision log that explain the design.</t>
        </is>
      </c>
      <c r="I77" s="46" t="inlineStr">
        <is>
          <t>text</t>
        </is>
      </c>
      <c r="J77" s="46" t="inlineStr">
        <is>
          <t>atomic</t>
        </is>
      </c>
      <c r="K77" s="46" t="inlineStr">
        <is>
          <t>optional</t>
        </is>
      </c>
      <c r="L77" s="46" t="inlineStr">
        <is>
          <t>comma separated ids</t>
        </is>
      </c>
      <c r="M77" s="46" t="inlineStr">
        <is>
          <t>D6</t>
        </is>
      </c>
      <c r="N77" s="46" t="inlineStr">
        <is>
          <t>feature</t>
        </is>
      </c>
      <c r="O77" s="46" t="inlineStr">
        <is>
          <t>decision_ids</t>
        </is>
      </c>
    </row>
    <row r="78">
      <c r="A78" s="46" t="inlineStr">
        <is>
          <t>Step 03</t>
        </is>
      </c>
      <c r="B78" s="46" t="inlineStr">
        <is>
          <t>SEC-06</t>
        </is>
      </c>
      <c r="C78" s="46" t="inlineStr">
        <is>
          <t>Requirement Trace</t>
        </is>
      </c>
      <c r="D78" s="46" t="inlineStr">
        <is>
          <t>6.3.5</t>
        </is>
      </c>
      <c r="E78" s="46" t="n">
        <v>3</v>
      </c>
      <c r="F78" s="46" t="inlineStr">
        <is>
          <t>Nano</t>
        </is>
      </c>
      <c r="G78" s="47" t="inlineStr">
        <is>
          <t>Tests total</t>
        </is>
      </c>
      <c r="H78" s="46" t="inlineStr">
        <is>
          <t>How many generated test cases cover its tables.</t>
        </is>
      </c>
      <c r="I78" s="46" t="inlineStr">
        <is>
          <t>integer</t>
        </is>
      </c>
      <c r="J78" s="46" t="inlineStr">
        <is>
          <t>derived</t>
        </is>
      </c>
      <c r="K78" s="46" t="inlineStr">
        <is>
          <t>optional</t>
        </is>
      </c>
      <c r="L78" s="46" t="inlineStr">
        <is>
          <t>0 or more</t>
        </is>
      </c>
      <c r="M78" s="46" t="inlineStr">
        <is>
          <t>122</t>
        </is>
      </c>
      <c r="N78" s="46" t="inlineStr">
        <is>
          <t>feature</t>
        </is>
      </c>
      <c r="O78" s="46" t="inlineStr">
        <is>
          <t>tests_total</t>
        </is>
      </c>
    </row>
    <row r="79">
      <c r="A79" s="46" t="inlineStr">
        <is>
          <t>Step 03</t>
        </is>
      </c>
      <c r="B79" s="46" t="inlineStr">
        <is>
          <t>SEC-06</t>
        </is>
      </c>
      <c r="C79" s="46" t="inlineStr">
        <is>
          <t>Requirement Trace</t>
        </is>
      </c>
      <c r="D79" s="46" t="inlineStr">
        <is>
          <t>6.3.6</t>
        </is>
      </c>
      <c r="E79" s="46" t="n">
        <v>3</v>
      </c>
      <c r="F79" s="46" t="inlineStr">
        <is>
          <t>Nano</t>
        </is>
      </c>
      <c r="G79" s="47" t="inlineStr">
        <is>
          <t>Tests passed</t>
        </is>
      </c>
      <c r="H79" s="46" t="inlineStr">
        <is>
          <t>How many of those test cases passed.</t>
        </is>
      </c>
      <c r="I79" s="46" t="inlineStr">
        <is>
          <t>integer</t>
        </is>
      </c>
      <c r="J79" s="46" t="inlineStr">
        <is>
          <t>derived</t>
        </is>
      </c>
      <c r="K79" s="46" t="inlineStr">
        <is>
          <t>optional</t>
        </is>
      </c>
      <c r="L79" s="46" t="inlineStr">
        <is>
          <t>0 to tests total</t>
        </is>
      </c>
      <c r="M79" s="46" t="inlineStr">
        <is>
          <t>119</t>
        </is>
      </c>
      <c r="N79" s="46" t="inlineStr">
        <is>
          <t>feature</t>
        </is>
      </c>
      <c r="O79" s="46" t="inlineStr">
        <is>
          <t>tests_passed</t>
        </is>
      </c>
    </row>
    <row r="80">
      <c r="A80" s="43" t="inlineStr">
        <is>
          <t>Step 03</t>
        </is>
      </c>
      <c r="B80" s="43" t="inlineStr">
        <is>
          <t>SEC-07</t>
        </is>
      </c>
      <c r="C80" s="43" t="inlineStr">
        <is>
          <t>Competitor Gaps</t>
        </is>
      </c>
      <c r="D80" s="43" t="inlineStr">
        <is>
          <t>7</t>
        </is>
      </c>
      <c r="E80" s="43" t="n">
        <v>1</v>
      </c>
      <c r="F80" s="43" t="inlineStr">
        <is>
          <t>Macro</t>
        </is>
      </c>
      <c r="G80" s="43" t="inlineStr">
        <is>
          <t>Competitor Gaps</t>
        </is>
      </c>
      <c r="H80" s="43" t="inlineStr">
        <is>
          <t>What competitors lack, or what we lack, and why it matters.</t>
        </is>
      </c>
      <c r="I80" s="43" t="n"/>
      <c r="J80" s="43" t="n"/>
      <c r="K80" s="43" t="n"/>
      <c r="L80" s="43" t="n"/>
      <c r="M80" s="43" t="n"/>
      <c r="N80" s="43" t="inlineStr">
        <is>
          <t>competitor_gap</t>
        </is>
      </c>
      <c r="O80" s="43" t="n"/>
    </row>
    <row r="81">
      <c r="A81" s="44" t="inlineStr">
        <is>
          <t>Step 03</t>
        </is>
      </c>
      <c r="B81" s="44" t="inlineStr">
        <is>
          <t>SEC-07</t>
        </is>
      </c>
      <c r="C81" s="44" t="inlineStr">
        <is>
          <t>Competitor Gaps</t>
        </is>
      </c>
      <c r="D81" s="44" t="inlineStr">
        <is>
          <t>7.1</t>
        </is>
      </c>
      <c r="E81" s="44" t="n">
        <v>2</v>
      </c>
      <c r="F81" s="44" t="inlineStr">
        <is>
          <t>Micro</t>
        </is>
      </c>
      <c r="G81" s="45" t="inlineStr">
        <is>
          <t>Gap</t>
        </is>
      </c>
      <c r="H81" s="44" t="inlineStr">
        <is>
          <t>Which gap it is and in which direction.</t>
        </is>
      </c>
      <c r="I81" s="44" t="n"/>
      <c r="J81" s="44" t="n"/>
      <c r="K81" s="44" t="n"/>
      <c r="L81" s="44" t="n"/>
      <c r="M81" s="44" t="n"/>
      <c r="N81" s="44" t="inlineStr">
        <is>
          <t>competitor_gap</t>
        </is>
      </c>
      <c r="O81" s="44" t="inlineStr">
        <is>
          <t>(4 columns)</t>
        </is>
      </c>
    </row>
    <row r="82">
      <c r="A82" s="46" t="inlineStr">
        <is>
          <t>Step 03</t>
        </is>
      </c>
      <c r="B82" s="46" t="inlineStr">
        <is>
          <t>SEC-07</t>
        </is>
      </c>
      <c r="C82" s="46" t="inlineStr">
        <is>
          <t>Competitor Gaps</t>
        </is>
      </c>
      <c r="D82" s="46" t="inlineStr">
        <is>
          <t>7.1.1</t>
        </is>
      </c>
      <c r="E82" s="46" t="n">
        <v>3</v>
      </c>
      <c r="F82" s="46" t="inlineStr">
        <is>
          <t>Nano</t>
        </is>
      </c>
      <c r="G82" s="47" t="inlineStr">
        <is>
          <t>Gap id</t>
        </is>
      </c>
      <c r="H82" s="46" t="inlineStr">
        <is>
          <t>One fixed code for the gap.</t>
        </is>
      </c>
      <c r="I82" s="46" t="inlineStr">
        <is>
          <t>id</t>
        </is>
      </c>
      <c r="J82" s="46" t="inlineStr">
        <is>
          <t>atomic</t>
        </is>
      </c>
      <c r="K82" s="46" t="inlineStr">
        <is>
          <t>required</t>
        </is>
      </c>
      <c r="L82" s="46" t="inlineStr">
        <is>
          <t>unique, pattern GAP-nn</t>
        </is>
      </c>
      <c r="M82" s="46" t="inlineStr">
        <is>
          <t>GAP-01</t>
        </is>
      </c>
      <c r="N82" s="46" t="inlineStr">
        <is>
          <t>competitor_gap</t>
        </is>
      </c>
      <c r="O82" s="46" t="inlineStr">
        <is>
          <t>gap_id</t>
        </is>
      </c>
    </row>
    <row r="83">
      <c r="A83" s="46" t="inlineStr">
        <is>
          <t>Step 03</t>
        </is>
      </c>
      <c r="B83" s="46" t="inlineStr">
        <is>
          <t>SEC-07</t>
        </is>
      </c>
      <c r="C83" s="46" t="inlineStr">
        <is>
          <t>Competitor Gaps</t>
        </is>
      </c>
      <c r="D83" s="46" t="inlineStr">
        <is>
          <t>7.1.2</t>
        </is>
      </c>
      <c r="E83" s="46" t="n">
        <v>3</v>
      </c>
      <c r="F83" s="46" t="inlineStr">
        <is>
          <t>Nano</t>
        </is>
      </c>
      <c r="G83" s="47" t="inlineStr">
        <is>
          <t>Feature id</t>
        </is>
      </c>
      <c r="H83" s="46" t="inlineStr">
        <is>
          <t>The feature the gap is about.</t>
        </is>
      </c>
      <c r="I83" s="46" t="inlineStr">
        <is>
          <t>reference</t>
        </is>
      </c>
      <c r="J83" s="46" t="inlineStr">
        <is>
          <t>atomic</t>
        </is>
      </c>
      <c r="K83" s="46" t="inlineStr">
        <is>
          <t>required</t>
        </is>
      </c>
      <c r="L83" s="46" t="inlineStr">
        <is>
          <t>an existing feature_id</t>
        </is>
      </c>
      <c r="M83" s="46" t="inlineStr">
        <is>
          <t>FD-052</t>
        </is>
      </c>
      <c r="N83" s="46" t="inlineStr">
        <is>
          <t>competitor_gap</t>
        </is>
      </c>
      <c r="O83" s="46" t="inlineStr">
        <is>
          <t>feature_id</t>
        </is>
      </c>
    </row>
    <row r="84">
      <c r="A84" s="46" t="inlineStr">
        <is>
          <t>Step 03</t>
        </is>
      </c>
      <c r="B84" s="46" t="inlineStr">
        <is>
          <t>SEC-07</t>
        </is>
      </c>
      <c r="C84" s="46" t="inlineStr">
        <is>
          <t>Competitor Gaps</t>
        </is>
      </c>
      <c r="D84" s="46" t="inlineStr">
        <is>
          <t>7.1.3</t>
        </is>
      </c>
      <c r="E84" s="46" t="n">
        <v>3</v>
      </c>
      <c r="F84" s="46" t="inlineStr">
        <is>
          <t>Nano</t>
        </is>
      </c>
      <c r="G84" s="47" t="inlineStr">
        <is>
          <t>Gap direction</t>
        </is>
      </c>
      <c r="H84" s="46" t="inlineStr">
        <is>
          <t>Competitors lack it, or we lack it.</t>
        </is>
      </c>
      <c r="I84" s="46" t="inlineStr">
        <is>
          <t>enum</t>
        </is>
      </c>
      <c r="J84" s="46" t="inlineStr">
        <is>
          <t>atomic</t>
        </is>
      </c>
      <c r="K84" s="46" t="inlineStr">
        <is>
          <t>required</t>
        </is>
      </c>
      <c r="L84" s="46" t="inlineStr">
        <is>
          <t>list: GapDirection</t>
        </is>
      </c>
      <c r="M84" s="46" t="inlineStr">
        <is>
          <t>Competitors lack it</t>
        </is>
      </c>
      <c r="N84" s="46" t="inlineStr">
        <is>
          <t>competitor_gap</t>
        </is>
      </c>
      <c r="O84" s="46" t="inlineStr">
        <is>
          <t>gap_direction</t>
        </is>
      </c>
    </row>
    <row r="85">
      <c r="A85" s="46" t="inlineStr">
        <is>
          <t>Step 03</t>
        </is>
      </c>
      <c r="B85" s="46" t="inlineStr">
        <is>
          <t>SEC-07</t>
        </is>
      </c>
      <c r="C85" s="46" t="inlineStr">
        <is>
          <t>Competitor Gaps</t>
        </is>
      </c>
      <c r="D85" s="46" t="inlineStr">
        <is>
          <t>7.1.4</t>
        </is>
      </c>
      <c r="E85" s="46" t="n">
        <v>3</v>
      </c>
      <c r="F85" s="46" t="inlineStr">
        <is>
          <t>Nano</t>
        </is>
      </c>
      <c r="G85" s="47" t="inlineStr">
        <is>
          <t>Lack nature</t>
        </is>
      </c>
      <c r="H85" s="46" t="inlineStr">
        <is>
          <t>Absent, partial, not found on the pages checked, or not observable.</t>
        </is>
      </c>
      <c r="I85" s="46" t="inlineStr">
        <is>
          <t>enum</t>
        </is>
      </c>
      <c r="J85" s="46" t="inlineStr">
        <is>
          <t>atomic</t>
        </is>
      </c>
      <c r="K85" s="46" t="inlineStr">
        <is>
          <t>required</t>
        </is>
      </c>
      <c r="L85" s="46" t="inlineStr">
        <is>
          <t>list: LackNature</t>
        </is>
      </c>
      <c r="M85" s="46" t="inlineStr">
        <is>
          <t>Absent</t>
        </is>
      </c>
      <c r="N85" s="46" t="inlineStr">
        <is>
          <t>competitor_gap</t>
        </is>
      </c>
      <c r="O85" s="46" t="inlineStr">
        <is>
          <t>lack_nature</t>
        </is>
      </c>
    </row>
    <row r="86">
      <c r="A86" s="44" t="inlineStr">
        <is>
          <t>Step 03</t>
        </is>
      </c>
      <c r="B86" s="44" t="inlineStr">
        <is>
          <t>SEC-07</t>
        </is>
      </c>
      <c r="C86" s="44" t="inlineStr">
        <is>
          <t>Competitor Gaps</t>
        </is>
      </c>
      <c r="D86" s="44" t="inlineStr">
        <is>
          <t>7.2</t>
        </is>
      </c>
      <c r="E86" s="44" t="n">
        <v>2</v>
      </c>
      <c r="F86" s="44" t="inlineStr">
        <is>
          <t>Micro</t>
        </is>
      </c>
      <c r="G86" s="45" t="inlineStr">
        <is>
          <t>Evidence</t>
        </is>
      </c>
      <c r="H86" s="44" t="inlineStr">
        <is>
          <t>What the claim rests on.</t>
        </is>
      </c>
      <c r="I86" s="44" t="n"/>
      <c r="J86" s="44" t="n"/>
      <c r="K86" s="44" t="n"/>
      <c r="L86" s="44" t="n"/>
      <c r="M86" s="44" t="n"/>
      <c r="N86" s="44" t="inlineStr">
        <is>
          <t>competitor_gap</t>
        </is>
      </c>
      <c r="O86" s="44" t="inlineStr">
        <is>
          <t>(2 columns)</t>
        </is>
      </c>
    </row>
    <row r="87">
      <c r="A87" s="46" t="inlineStr">
        <is>
          <t>Step 03</t>
        </is>
      </c>
      <c r="B87" s="46" t="inlineStr">
        <is>
          <t>SEC-07</t>
        </is>
      </c>
      <c r="C87" s="46" t="inlineStr">
        <is>
          <t>Competitor Gaps</t>
        </is>
      </c>
      <c r="D87" s="46" t="inlineStr">
        <is>
          <t>7.2.1</t>
        </is>
      </c>
      <c r="E87" s="46" t="n">
        <v>3</v>
      </c>
      <c r="F87" s="46" t="inlineStr">
        <is>
          <t>Nano</t>
        </is>
      </c>
      <c r="G87" s="47" t="inlineStr">
        <is>
          <t>Gap evidence</t>
        </is>
      </c>
      <c r="H87" s="46" t="inlineStr">
        <is>
          <t>The text or register row that shows the gap.</t>
        </is>
      </c>
      <c r="I87" s="46" t="inlineStr">
        <is>
          <t>text</t>
        </is>
      </c>
      <c r="J87" s="46" t="inlineStr">
        <is>
          <t>atomic</t>
        </is>
      </c>
      <c r="K87" s="46" t="inlineStr">
        <is>
          <t>required</t>
        </is>
      </c>
      <c r="L87" s="46" t="inlineStr">
        <is>
          <t>1 to 500 characters</t>
        </is>
      </c>
      <c r="M87" s="46" t="inlineStr">
        <is>
          <t>Register says the products do not offer blocking by party type</t>
        </is>
      </c>
      <c r="N87" s="46" t="inlineStr">
        <is>
          <t>competitor_gap</t>
        </is>
      </c>
      <c r="O87" s="46" t="inlineStr">
        <is>
          <t>gap_evidence</t>
        </is>
      </c>
    </row>
    <row r="88">
      <c r="A88" s="46" t="inlineStr">
        <is>
          <t>Step 03</t>
        </is>
      </c>
      <c r="B88" s="46" t="inlineStr">
        <is>
          <t>SEC-07</t>
        </is>
      </c>
      <c r="C88" s="46" t="inlineStr">
        <is>
          <t>Competitor Gaps</t>
        </is>
      </c>
      <c r="D88" s="46" t="inlineStr">
        <is>
          <t>7.2.2</t>
        </is>
      </c>
      <c r="E88" s="46" t="n">
        <v>3</v>
      </c>
      <c r="F88" s="46" t="inlineStr">
        <is>
          <t>Nano</t>
        </is>
      </c>
      <c r="G88" s="47" t="inlineStr">
        <is>
          <t>Evidence status</t>
        </is>
      </c>
      <c r="H88" s="46" t="inlineStr">
        <is>
          <t>Public if read on a live page, Known if from the register only.</t>
        </is>
      </c>
      <c r="I88" s="46" t="inlineStr">
        <is>
          <t>enum</t>
        </is>
      </c>
      <c r="J88" s="46" t="inlineStr">
        <is>
          <t>atomic</t>
        </is>
      </c>
      <c r="K88" s="46" t="inlineStr">
        <is>
          <t>required</t>
        </is>
      </c>
      <c r="L88" s="46" t="inlineStr">
        <is>
          <t>list: EvidenceStatus</t>
        </is>
      </c>
      <c r="M88" s="46" t="inlineStr">
        <is>
          <t>Known</t>
        </is>
      </c>
      <c r="N88" s="46" t="inlineStr">
        <is>
          <t>competitor_gap</t>
        </is>
      </c>
      <c r="O88" s="46" t="inlineStr">
        <is>
          <t>evidence_status</t>
        </is>
      </c>
    </row>
    <row r="89">
      <c r="A89" s="44" t="inlineStr">
        <is>
          <t>Step 03</t>
        </is>
      </c>
      <c r="B89" s="44" t="inlineStr">
        <is>
          <t>SEC-07</t>
        </is>
      </c>
      <c r="C89" s="44" t="inlineStr">
        <is>
          <t>Competitor Gaps</t>
        </is>
      </c>
      <c r="D89" s="44" t="inlineStr">
        <is>
          <t>7.3</t>
        </is>
      </c>
      <c r="E89" s="44" t="n">
        <v>2</v>
      </c>
      <c r="F89" s="44" t="inlineStr">
        <is>
          <t>Micro</t>
        </is>
      </c>
      <c r="G89" s="45" t="inlineStr">
        <is>
          <t>Why it matters</t>
        </is>
      </c>
      <c r="H89" s="44" t="inlineStr">
        <is>
          <t>The argument.</t>
        </is>
      </c>
      <c r="I89" s="44" t="n"/>
      <c r="J89" s="44" t="n"/>
      <c r="K89" s="44" t="n"/>
      <c r="L89" s="44" t="n"/>
      <c r="M89" s="44" t="n"/>
      <c r="N89" s="44" t="inlineStr">
        <is>
          <t>competitor_gap</t>
        </is>
      </c>
      <c r="O89" s="44" t="inlineStr">
        <is>
          <t>(4 columns)</t>
        </is>
      </c>
    </row>
    <row r="90">
      <c r="A90" s="46" t="inlineStr">
        <is>
          <t>Step 03</t>
        </is>
      </c>
      <c r="B90" s="46" t="inlineStr">
        <is>
          <t>SEC-07</t>
        </is>
      </c>
      <c r="C90" s="46" t="inlineStr">
        <is>
          <t>Competitor Gaps</t>
        </is>
      </c>
      <c r="D90" s="46" t="inlineStr">
        <is>
          <t>7.3.1</t>
        </is>
      </c>
      <c r="E90" s="46" t="n">
        <v>3</v>
      </c>
      <c r="F90" s="46" t="inlineStr">
        <is>
          <t>Nano</t>
        </is>
      </c>
      <c r="G90" s="47" t="inlineStr">
        <is>
          <t>Reason type</t>
        </is>
      </c>
      <c r="H90" s="46" t="inlineStr">
        <is>
          <t>Why competitors lack it: technical, regulatory, commercial, not their focus or unknown.</t>
        </is>
      </c>
      <c r="I90" s="46" t="inlineStr">
        <is>
          <t>enum</t>
        </is>
      </c>
      <c r="J90" s="46" t="inlineStr">
        <is>
          <t>atomic</t>
        </is>
      </c>
      <c r="K90" s="46" t="inlineStr">
        <is>
          <t>required</t>
        </is>
      </c>
      <c r="L90" s="46" t="inlineStr">
        <is>
          <t>list: ReasonType</t>
        </is>
      </c>
      <c r="M90" s="46" t="inlineStr">
        <is>
          <t>Not their focus</t>
        </is>
      </c>
      <c r="N90" s="46" t="inlineStr">
        <is>
          <t>competitor_gap</t>
        </is>
      </c>
      <c r="O90" s="46" t="inlineStr">
        <is>
          <t>reason_type</t>
        </is>
      </c>
    </row>
    <row r="91">
      <c r="A91" s="46" t="inlineStr">
        <is>
          <t>Step 03</t>
        </is>
      </c>
      <c r="B91" s="46" t="inlineStr">
        <is>
          <t>SEC-07</t>
        </is>
      </c>
      <c r="C91" s="46" t="inlineStr">
        <is>
          <t>Competitor Gaps</t>
        </is>
      </c>
      <c r="D91" s="46" t="inlineStr">
        <is>
          <t>7.3.2</t>
        </is>
      </c>
      <c r="E91" s="46" t="n">
        <v>3</v>
      </c>
      <c r="F91" s="46" t="inlineStr">
        <is>
          <t>Nano</t>
        </is>
      </c>
      <c r="G91" s="47" t="inlineStr">
        <is>
          <t>Why it matters</t>
        </is>
      </c>
      <c r="H91" s="46" t="inlineStr">
        <is>
          <t>The business reason in plain words.</t>
        </is>
      </c>
      <c r="I91" s="46" t="inlineStr">
        <is>
          <t>text</t>
        </is>
      </c>
      <c r="J91" s="46" t="inlineStr">
        <is>
          <t>atomic</t>
        </is>
      </c>
      <c r="K91" s="46" t="inlineStr">
        <is>
          <t>required</t>
        </is>
      </c>
      <c r="L91" s="46" t="inlineStr">
        <is>
          <t>1 to 600 characters</t>
        </is>
      </c>
      <c r="M91" s="46" t="inlineStr">
        <is>
          <t>A candidate decides who may see them</t>
        </is>
      </c>
      <c r="N91" s="46" t="inlineStr">
        <is>
          <t>competitor_gap</t>
        </is>
      </c>
      <c r="O91" s="46" t="inlineStr">
        <is>
          <t>why_it_matters</t>
        </is>
      </c>
    </row>
    <row r="92">
      <c r="A92" s="46" t="inlineStr">
        <is>
          <t>Step 03</t>
        </is>
      </c>
      <c r="B92" s="46" t="inlineStr">
        <is>
          <t>SEC-07</t>
        </is>
      </c>
      <c r="C92" s="46" t="inlineStr">
        <is>
          <t>Competitor Gaps</t>
        </is>
      </c>
      <c r="D92" s="46" t="inlineStr">
        <is>
          <t>7.3.3</t>
        </is>
      </c>
      <c r="E92" s="46" t="n">
        <v>3</v>
      </c>
      <c r="F92" s="46" t="inlineStr">
        <is>
          <t>Nano</t>
        </is>
      </c>
      <c r="G92" s="47" t="inlineStr">
        <is>
          <t>Persona affected</t>
        </is>
      </c>
      <c r="H92" s="46" t="inlineStr">
        <is>
          <t>The type of person who gains most.</t>
        </is>
      </c>
      <c r="I92" s="46" t="inlineStr">
        <is>
          <t>enum</t>
        </is>
      </c>
      <c r="J92" s="46" t="inlineStr">
        <is>
          <t>atomic</t>
        </is>
      </c>
      <c r="K92" s="46" t="inlineStr">
        <is>
          <t>required</t>
        </is>
      </c>
      <c r="L92" s="46" t="inlineStr">
        <is>
          <t>list: Persona</t>
        </is>
      </c>
      <c r="M92" s="46" t="inlineStr">
        <is>
          <t>Candidate</t>
        </is>
      </c>
      <c r="N92" s="46" t="inlineStr">
        <is>
          <t>competitor_gap</t>
        </is>
      </c>
      <c r="O92" s="46" t="inlineStr">
        <is>
          <t>persona_affected</t>
        </is>
      </c>
    </row>
    <row r="93">
      <c r="A93" s="46" t="inlineStr">
        <is>
          <t>Step 03</t>
        </is>
      </c>
      <c r="B93" s="46" t="inlineStr">
        <is>
          <t>SEC-07</t>
        </is>
      </c>
      <c r="C93" s="46" t="inlineStr">
        <is>
          <t>Competitor Gaps</t>
        </is>
      </c>
      <c r="D93" s="46" t="inlineStr">
        <is>
          <t>7.3.4</t>
        </is>
      </c>
      <c r="E93" s="46" t="n">
        <v>3</v>
      </c>
      <c r="F93" s="46" t="inlineStr">
        <is>
          <t>Nano</t>
        </is>
      </c>
      <c r="G93" s="47" t="inlineStr">
        <is>
          <t>Impact dimension</t>
        </is>
      </c>
      <c r="H93" s="46" t="inlineStr">
        <is>
          <t>What improves: trust, cost, speed, match quality and so on.</t>
        </is>
      </c>
      <c r="I93" s="46" t="inlineStr">
        <is>
          <t>enum</t>
        </is>
      </c>
      <c r="J93" s="46" t="inlineStr">
        <is>
          <t>atomic</t>
        </is>
      </c>
      <c r="K93" s="46" t="inlineStr">
        <is>
          <t>required</t>
        </is>
      </c>
      <c r="L93" s="46" t="inlineStr">
        <is>
          <t>list: ImpactDimension</t>
        </is>
      </c>
      <c r="M93" s="46" t="inlineStr">
        <is>
          <t>Trust and safety</t>
        </is>
      </c>
      <c r="N93" s="46" t="inlineStr">
        <is>
          <t>competitor_gap</t>
        </is>
      </c>
      <c r="O93" s="46" t="inlineStr">
        <is>
          <t>impact_dimension</t>
        </is>
      </c>
    </row>
    <row r="94">
      <c r="A94" s="44" t="inlineStr">
        <is>
          <t>Step 03</t>
        </is>
      </c>
      <c r="B94" s="44" t="inlineStr">
        <is>
          <t>SEC-07</t>
        </is>
      </c>
      <c r="C94" s="44" t="inlineStr">
        <is>
          <t>Competitor Gaps</t>
        </is>
      </c>
      <c r="D94" s="44" t="inlineStr">
        <is>
          <t>7.4</t>
        </is>
      </c>
      <c r="E94" s="44" t="n">
        <v>2</v>
      </c>
      <c r="F94" s="44" t="inlineStr">
        <is>
          <t>Micro</t>
        </is>
      </c>
      <c r="G94" s="45" t="inlineStr">
        <is>
          <t>Our answer</t>
        </is>
      </c>
      <c r="H94" s="44" t="inlineStr">
        <is>
          <t>What we did about it and how we prove it.</t>
        </is>
      </c>
      <c r="I94" s="44" t="n"/>
      <c r="J94" s="44" t="n"/>
      <c r="K94" s="44" t="n"/>
      <c r="L94" s="44" t="n"/>
      <c r="M94" s="44" t="n"/>
      <c r="N94" s="44" t="inlineStr">
        <is>
          <t>competitor_gap</t>
        </is>
      </c>
      <c r="O94" s="44" t="inlineStr">
        <is>
          <t>(4 columns)</t>
        </is>
      </c>
    </row>
    <row r="95">
      <c r="A95" s="46" t="inlineStr">
        <is>
          <t>Step 03</t>
        </is>
      </c>
      <c r="B95" s="46" t="inlineStr">
        <is>
          <t>SEC-07</t>
        </is>
      </c>
      <c r="C95" s="46" t="inlineStr">
        <is>
          <t>Competitor Gaps</t>
        </is>
      </c>
      <c r="D95" s="46" t="inlineStr">
        <is>
          <t>7.4.1</t>
        </is>
      </c>
      <c r="E95" s="46" t="n">
        <v>3</v>
      </c>
      <c r="F95" s="46" t="inlineStr">
        <is>
          <t>Nano</t>
        </is>
      </c>
      <c r="G95" s="47" t="inlineStr">
        <is>
          <t>What we built</t>
        </is>
      </c>
      <c r="H95" s="46" t="inlineStr">
        <is>
          <t>The tables and rules that answer the gap.</t>
        </is>
      </c>
      <c r="I95" s="46" t="inlineStr">
        <is>
          <t>text</t>
        </is>
      </c>
      <c r="J95" s="46" t="inlineStr">
        <is>
          <t>atomic</t>
        </is>
      </c>
      <c r="K95" s="46" t="inlineStr">
        <is>
          <t>required</t>
        </is>
      </c>
      <c r="L95" s="46" t="inlineStr">
        <is>
          <t>1 to 500 characters</t>
        </is>
      </c>
      <c r="M95" s="46" t="inlineStr">
        <is>
          <t>Blocking lists in Administration</t>
        </is>
      </c>
      <c r="N95" s="46" t="inlineStr">
        <is>
          <t>competitor_gap</t>
        </is>
      </c>
      <c r="O95" s="46" t="inlineStr">
        <is>
          <t>what_we_built</t>
        </is>
      </c>
    </row>
    <row r="96">
      <c r="A96" s="46" t="inlineStr">
        <is>
          <t>Step 03</t>
        </is>
      </c>
      <c r="B96" s="46" t="inlineStr">
        <is>
          <t>SEC-07</t>
        </is>
      </c>
      <c r="C96" s="46" t="inlineStr">
        <is>
          <t>Competitor Gaps</t>
        </is>
      </c>
      <c r="D96" s="46" t="inlineStr">
        <is>
          <t>7.4.2</t>
        </is>
      </c>
      <c r="E96" s="46" t="n">
        <v>3</v>
      </c>
      <c r="F96" s="46" t="inlineStr">
        <is>
          <t>Nano</t>
        </is>
      </c>
      <c r="G96" s="47" t="inlineStr">
        <is>
          <t>Proof type</t>
        </is>
      </c>
      <c r="H96" s="46" t="inlineStr">
        <is>
          <t>Automated test, decision record, competitor evidence or document.</t>
        </is>
      </c>
      <c r="I96" s="46" t="inlineStr">
        <is>
          <t>enum</t>
        </is>
      </c>
      <c r="J96" s="46" t="inlineStr">
        <is>
          <t>atomic</t>
        </is>
      </c>
      <c r="K96" s="46" t="inlineStr">
        <is>
          <t>required</t>
        </is>
      </c>
      <c r="L96" s="46" t="inlineStr">
        <is>
          <t>list: ProofType</t>
        </is>
      </c>
      <c r="M96" s="46" t="inlineStr">
        <is>
          <t>Automated test</t>
        </is>
      </c>
      <c r="N96" s="46" t="inlineStr">
        <is>
          <t>competitor_gap</t>
        </is>
      </c>
      <c r="O96" s="46" t="inlineStr">
        <is>
          <t>proof_type</t>
        </is>
      </c>
    </row>
    <row r="97">
      <c r="A97" s="46" t="inlineStr">
        <is>
          <t>Step 03</t>
        </is>
      </c>
      <c r="B97" s="46" t="inlineStr">
        <is>
          <t>SEC-07</t>
        </is>
      </c>
      <c r="C97" s="46" t="inlineStr">
        <is>
          <t>Competitor Gaps</t>
        </is>
      </c>
      <c r="D97" s="46" t="inlineStr">
        <is>
          <t>7.4.3</t>
        </is>
      </c>
      <c r="E97" s="46" t="n">
        <v>3</v>
      </c>
      <c r="F97" s="46" t="inlineStr">
        <is>
          <t>Nano</t>
        </is>
      </c>
      <c r="G97" s="47" t="inlineStr">
        <is>
          <t>Proof reference</t>
        </is>
      </c>
      <c r="H97" s="46" t="inlineStr">
        <is>
          <t>The test file, decision id or page that proves it.</t>
        </is>
      </c>
      <c r="I97" s="46" t="inlineStr">
        <is>
          <t>text</t>
        </is>
      </c>
      <c r="J97" s="46" t="inlineStr">
        <is>
          <t>atomic</t>
        </is>
      </c>
      <c r="K97" s="46" t="inlineStr">
        <is>
          <t>required</t>
        </is>
      </c>
      <c r="L97" s="46" t="inlineStr">
        <is>
          <t>1 to 300 characters</t>
        </is>
      </c>
      <c r="M97" s="46" t="inlineStr">
        <is>
          <t>tests/extra_security.sql</t>
        </is>
      </c>
      <c r="N97" s="46" t="inlineStr">
        <is>
          <t>competitor_gap</t>
        </is>
      </c>
      <c r="O97" s="46" t="inlineStr">
        <is>
          <t>proof_reference</t>
        </is>
      </c>
    </row>
    <row r="98">
      <c r="A98" s="46" t="inlineStr">
        <is>
          <t>Step 03</t>
        </is>
      </c>
      <c r="B98" s="46" t="inlineStr">
        <is>
          <t>SEC-07</t>
        </is>
      </c>
      <c r="C98" s="46" t="inlineStr">
        <is>
          <t>Competitor Gaps</t>
        </is>
      </c>
      <c r="D98" s="46" t="inlineStr">
        <is>
          <t>7.4.4</t>
        </is>
      </c>
      <c r="E98" s="46" t="n">
        <v>3</v>
      </c>
      <c r="F98" s="46" t="inlineStr">
        <is>
          <t>Nano</t>
        </is>
      </c>
      <c r="G98" s="47" t="inlineStr">
        <is>
          <t>Action</t>
        </is>
      </c>
      <c r="H98" s="46" t="inlineStr">
        <is>
          <t>Build next, keep, verify first or skip.</t>
        </is>
      </c>
      <c r="I98" s="46" t="inlineStr">
        <is>
          <t>enum</t>
        </is>
      </c>
      <c r="J98" s="46" t="inlineStr">
        <is>
          <t>atomic</t>
        </is>
      </c>
      <c r="K98" s="46" t="inlineStr">
        <is>
          <t>required</t>
        </is>
      </c>
      <c r="L98" s="46" t="inlineStr">
        <is>
          <t>list: Action</t>
        </is>
      </c>
      <c r="M98" s="46" t="inlineStr">
        <is>
          <t>Keep</t>
        </is>
      </c>
      <c r="N98" s="46" t="inlineStr">
        <is>
          <t>competitor_gap</t>
        </is>
      </c>
      <c r="O98" s="46" t="inlineStr">
        <is>
          <t>action</t>
        </is>
      </c>
    </row>
    <row r="99">
      <c r="A99" s="43" t="inlineStr">
        <is>
          <t>Step 03</t>
        </is>
      </c>
      <c r="B99" s="43" t="inlineStr">
        <is>
          <t>SEC-08</t>
        </is>
      </c>
      <c r="C99" s="43" t="inlineStr">
        <is>
          <t>Review Log</t>
        </is>
      </c>
      <c r="D99" s="43" t="inlineStr">
        <is>
          <t>8</t>
        </is>
      </c>
      <c r="E99" s="43" t="n">
        <v>1</v>
      </c>
      <c r="F99" s="43" t="inlineStr">
        <is>
          <t>Macro</t>
        </is>
      </c>
      <c r="G99" s="43" t="inlineStr">
        <is>
          <t>Review Log</t>
        </is>
      </c>
      <c r="H99" s="43" t="inlineStr">
        <is>
          <t>The review, review, review loop: every round is recorded.</t>
        </is>
      </c>
      <c r="I99" s="43" t="n"/>
      <c r="J99" s="43" t="n"/>
      <c r="K99" s="43" t="n"/>
      <c r="L99" s="43" t="n"/>
      <c r="M99" s="43" t="n"/>
      <c r="N99" s="43" t="inlineStr">
        <is>
          <t>review_log</t>
        </is>
      </c>
      <c r="O99" s="43" t="n"/>
    </row>
    <row r="100">
      <c r="A100" s="44" t="inlineStr">
        <is>
          <t>Step 03</t>
        </is>
      </c>
      <c r="B100" s="44" t="inlineStr">
        <is>
          <t>SEC-08</t>
        </is>
      </c>
      <c r="C100" s="44" t="inlineStr">
        <is>
          <t>Review Log</t>
        </is>
      </c>
      <c r="D100" s="44" t="inlineStr">
        <is>
          <t>8.1</t>
        </is>
      </c>
      <c r="E100" s="44" t="n">
        <v>2</v>
      </c>
      <c r="F100" s="44" t="inlineStr">
        <is>
          <t>Micro</t>
        </is>
      </c>
      <c r="G100" s="45" t="inlineStr">
        <is>
          <t>Review record</t>
        </is>
      </c>
      <c r="H100" s="44" t="inlineStr">
        <is>
          <t>Which review it was.</t>
        </is>
      </c>
      <c r="I100" s="44" t="n"/>
      <c r="J100" s="44" t="n"/>
      <c r="K100" s="44" t="n"/>
      <c r="L100" s="44" t="n"/>
      <c r="M100" s="44" t="n"/>
      <c r="N100" s="44" t="inlineStr">
        <is>
          <t>review_log</t>
        </is>
      </c>
      <c r="O100" s="44" t="inlineStr">
        <is>
          <t>(3 columns)</t>
        </is>
      </c>
    </row>
    <row r="101">
      <c r="A101" s="46" t="inlineStr">
        <is>
          <t>Step 03</t>
        </is>
      </c>
      <c r="B101" s="46" t="inlineStr">
        <is>
          <t>SEC-08</t>
        </is>
      </c>
      <c r="C101" s="46" t="inlineStr">
        <is>
          <t>Review Log</t>
        </is>
      </c>
      <c r="D101" s="46" t="inlineStr">
        <is>
          <t>8.1.1</t>
        </is>
      </c>
      <c r="E101" s="46" t="n">
        <v>3</v>
      </c>
      <c r="F101" s="46" t="inlineStr">
        <is>
          <t>Nano</t>
        </is>
      </c>
      <c r="G101" s="47" t="inlineStr">
        <is>
          <t>Review id</t>
        </is>
      </c>
      <c r="H101" s="46" t="inlineStr">
        <is>
          <t>One fixed code for the review.</t>
        </is>
      </c>
      <c r="I101" s="46" t="inlineStr">
        <is>
          <t>id</t>
        </is>
      </c>
      <c r="J101" s="46" t="inlineStr">
        <is>
          <t>atomic</t>
        </is>
      </c>
      <c r="K101" s="46" t="inlineStr">
        <is>
          <t>required</t>
        </is>
      </c>
      <c r="L101" s="46" t="inlineStr">
        <is>
          <t>unique, pattern REV-nn</t>
        </is>
      </c>
      <c r="M101" s="46" t="inlineStr">
        <is>
          <t>REV-01</t>
        </is>
      </c>
      <c r="N101" s="46" t="inlineStr">
        <is>
          <t>review_log</t>
        </is>
      </c>
      <c r="O101" s="46" t="inlineStr">
        <is>
          <t>review_id</t>
        </is>
      </c>
    </row>
    <row r="102">
      <c r="A102" s="46" t="inlineStr">
        <is>
          <t>Step 03</t>
        </is>
      </c>
      <c r="B102" s="46" t="inlineStr">
        <is>
          <t>SEC-08</t>
        </is>
      </c>
      <c r="C102" s="46" t="inlineStr">
        <is>
          <t>Review Log</t>
        </is>
      </c>
      <c r="D102" s="46" t="inlineStr">
        <is>
          <t>8.1.2</t>
        </is>
      </c>
      <c r="E102" s="46" t="n">
        <v>3</v>
      </c>
      <c r="F102" s="46" t="inlineStr">
        <is>
          <t>Nano</t>
        </is>
      </c>
      <c r="G102" s="47" t="inlineStr">
        <is>
          <t>Review round</t>
        </is>
      </c>
      <c r="H102" s="46" t="inlineStr">
        <is>
          <t>Which round of review this was.</t>
        </is>
      </c>
      <c r="I102" s="46" t="inlineStr">
        <is>
          <t>integer</t>
        </is>
      </c>
      <c r="J102" s="46" t="inlineStr">
        <is>
          <t>atomic</t>
        </is>
      </c>
      <c r="K102" s="46" t="inlineStr">
        <is>
          <t>required</t>
        </is>
      </c>
      <c r="L102" s="46" t="inlineStr">
        <is>
          <t>1 or more</t>
        </is>
      </c>
      <c r="M102" s="46" t="inlineStr">
        <is>
          <t>2</t>
        </is>
      </c>
      <c r="N102" s="46" t="inlineStr">
        <is>
          <t>review_log</t>
        </is>
      </c>
      <c r="O102" s="46" t="inlineStr">
        <is>
          <t>review_round</t>
        </is>
      </c>
    </row>
    <row r="103">
      <c r="A103" s="46" t="inlineStr">
        <is>
          <t>Step 03</t>
        </is>
      </c>
      <c r="B103" s="46" t="inlineStr">
        <is>
          <t>SEC-08</t>
        </is>
      </c>
      <c r="C103" s="46" t="inlineStr">
        <is>
          <t>Review Log</t>
        </is>
      </c>
      <c r="D103" s="46" t="inlineStr">
        <is>
          <t>8.1.3</t>
        </is>
      </c>
      <c r="E103" s="46" t="n">
        <v>3</v>
      </c>
      <c r="F103" s="46" t="inlineStr">
        <is>
          <t>Nano</t>
        </is>
      </c>
      <c r="G103" s="47" t="inlineStr">
        <is>
          <t>Review type</t>
        </is>
      </c>
      <c r="H103" s="46" t="inlineStr">
        <is>
          <t>Self, peer, lead or automated check.</t>
        </is>
      </c>
      <c r="I103" s="46" t="inlineStr">
        <is>
          <t>enum</t>
        </is>
      </c>
      <c r="J103" s="46" t="inlineStr">
        <is>
          <t>atomic</t>
        </is>
      </c>
      <c r="K103" s="46" t="inlineStr">
        <is>
          <t>required</t>
        </is>
      </c>
      <c r="L103" s="46" t="inlineStr">
        <is>
          <t>list: ReviewType</t>
        </is>
      </c>
      <c r="M103" s="46" t="inlineStr">
        <is>
          <t>Peer review</t>
        </is>
      </c>
      <c r="N103" s="46" t="inlineStr">
        <is>
          <t>review_log</t>
        </is>
      </c>
      <c r="O103" s="46" t="inlineStr">
        <is>
          <t>review_type</t>
        </is>
      </c>
    </row>
    <row r="104">
      <c r="A104" s="44" t="inlineStr">
        <is>
          <t>Step 03</t>
        </is>
      </c>
      <c r="B104" s="44" t="inlineStr">
        <is>
          <t>SEC-08</t>
        </is>
      </c>
      <c r="C104" s="44" t="inlineStr">
        <is>
          <t>Review Log</t>
        </is>
      </c>
      <c r="D104" s="44" t="inlineStr">
        <is>
          <t>8.2</t>
        </is>
      </c>
      <c r="E104" s="44" t="n">
        <v>2</v>
      </c>
      <c r="F104" s="44" t="inlineStr">
        <is>
          <t>Micro</t>
        </is>
      </c>
      <c r="G104" s="45" t="inlineStr">
        <is>
          <t>Outcome</t>
        </is>
      </c>
      <c r="H104" s="44" t="inlineStr">
        <is>
          <t>What came out of the review.</t>
        </is>
      </c>
      <c r="I104" s="44" t="n"/>
      <c r="J104" s="44" t="n"/>
      <c r="K104" s="44" t="n"/>
      <c r="L104" s="44" t="n"/>
      <c r="M104" s="44" t="n"/>
      <c r="N104" s="44" t="inlineStr">
        <is>
          <t>review_log</t>
        </is>
      </c>
      <c r="O104" s="44" t="inlineStr">
        <is>
          <t>(4 columns)</t>
        </is>
      </c>
    </row>
    <row r="105">
      <c r="A105" s="46" t="inlineStr">
        <is>
          <t>Step 03</t>
        </is>
      </c>
      <c r="B105" s="46" t="inlineStr">
        <is>
          <t>SEC-08</t>
        </is>
      </c>
      <c r="C105" s="46" t="inlineStr">
        <is>
          <t>Review Log</t>
        </is>
      </c>
      <c r="D105" s="46" t="inlineStr">
        <is>
          <t>8.2.1</t>
        </is>
      </c>
      <c r="E105" s="46" t="n">
        <v>3</v>
      </c>
      <c r="F105" s="46" t="inlineStr">
        <is>
          <t>Nano</t>
        </is>
      </c>
      <c r="G105" s="47" t="inlineStr">
        <is>
          <t>Reviewer</t>
        </is>
      </c>
      <c r="H105" s="46" t="inlineStr">
        <is>
          <t>The person or tool that reviewed.</t>
        </is>
      </c>
      <c r="I105" s="46" t="inlineStr">
        <is>
          <t>text</t>
        </is>
      </c>
      <c r="J105" s="46" t="inlineStr">
        <is>
          <t>atomic</t>
        </is>
      </c>
      <c r="K105" s="46" t="inlineStr">
        <is>
          <t>required</t>
        </is>
      </c>
      <c r="L105" s="46" t="inlineStr">
        <is>
          <t>1 to 100 characters</t>
        </is>
      </c>
      <c r="M105" s="46" t="inlineStr">
        <is>
          <t>Prabhav</t>
        </is>
      </c>
      <c r="N105" s="46" t="inlineStr">
        <is>
          <t>review_log</t>
        </is>
      </c>
      <c r="O105" s="46" t="inlineStr">
        <is>
          <t>reviewer</t>
        </is>
      </c>
    </row>
    <row r="106">
      <c r="A106" s="46" t="inlineStr">
        <is>
          <t>Step 03</t>
        </is>
      </c>
      <c r="B106" s="46" t="inlineStr">
        <is>
          <t>SEC-08</t>
        </is>
      </c>
      <c r="C106" s="46" t="inlineStr">
        <is>
          <t>Review Log</t>
        </is>
      </c>
      <c r="D106" s="46" t="inlineStr">
        <is>
          <t>8.2.2</t>
        </is>
      </c>
      <c r="E106" s="46" t="n">
        <v>3</v>
      </c>
      <c r="F106" s="46" t="inlineStr">
        <is>
          <t>Nano</t>
        </is>
      </c>
      <c r="G106" s="47" t="inlineStr">
        <is>
          <t>Outcome</t>
        </is>
      </c>
      <c r="H106" s="46" t="inlineStr">
        <is>
          <t>Accepted, accepted with changes, or rejected.</t>
        </is>
      </c>
      <c r="I106" s="46" t="inlineStr">
        <is>
          <t>enum</t>
        </is>
      </c>
      <c r="J106" s="46" t="inlineStr">
        <is>
          <t>atomic</t>
        </is>
      </c>
      <c r="K106" s="46" t="inlineStr">
        <is>
          <t>required</t>
        </is>
      </c>
      <c r="L106" s="46" t="inlineStr">
        <is>
          <t>list: ReviewOutcome</t>
        </is>
      </c>
      <c r="M106" s="46" t="inlineStr">
        <is>
          <t>Accepted with changes</t>
        </is>
      </c>
      <c r="N106" s="46" t="inlineStr">
        <is>
          <t>review_log</t>
        </is>
      </c>
      <c r="O106" s="46" t="inlineStr">
        <is>
          <t>outcome</t>
        </is>
      </c>
    </row>
    <row r="107">
      <c r="A107" s="46" t="inlineStr">
        <is>
          <t>Step 03</t>
        </is>
      </c>
      <c r="B107" s="46" t="inlineStr">
        <is>
          <t>SEC-08</t>
        </is>
      </c>
      <c r="C107" s="46" t="inlineStr">
        <is>
          <t>Review Log</t>
        </is>
      </c>
      <c r="D107" s="46" t="inlineStr">
        <is>
          <t>8.2.3</t>
        </is>
      </c>
      <c r="E107" s="46" t="n">
        <v>3</v>
      </c>
      <c r="F107" s="46" t="inlineStr">
        <is>
          <t>Nano</t>
        </is>
      </c>
      <c r="G107" s="47" t="inlineStr">
        <is>
          <t>Change summary</t>
        </is>
      </c>
      <c r="H107" s="46" t="inlineStr">
        <is>
          <t>What changed because of the review.</t>
        </is>
      </c>
      <c r="I107" s="46" t="inlineStr">
        <is>
          <t>text</t>
        </is>
      </c>
      <c r="J107" s="46" t="inlineStr">
        <is>
          <t>atomic</t>
        </is>
      </c>
      <c r="K107" s="46" t="inlineStr">
        <is>
          <t>optional</t>
        </is>
      </c>
      <c r="L107" s="46" t="inlineStr">
        <is>
          <t>0 to 500 characters</t>
        </is>
      </c>
      <c r="M107" s="46" t="inlineStr">
        <is>
          <t>Added a reason column for dropped features</t>
        </is>
      </c>
      <c r="N107" s="46" t="inlineStr">
        <is>
          <t>review_log</t>
        </is>
      </c>
      <c r="O107" s="46" t="inlineStr">
        <is>
          <t>change_summary</t>
        </is>
      </c>
    </row>
    <row r="108">
      <c r="A108" s="46" t="inlineStr">
        <is>
          <t>Step 03</t>
        </is>
      </c>
      <c r="B108" s="46" t="inlineStr">
        <is>
          <t>SEC-08</t>
        </is>
      </c>
      <c r="C108" s="46" t="inlineStr">
        <is>
          <t>Review Log</t>
        </is>
      </c>
      <c r="D108" s="46" t="inlineStr">
        <is>
          <t>8.2.4</t>
        </is>
      </c>
      <c r="E108" s="46" t="n">
        <v>3</v>
      </c>
      <c r="F108" s="46" t="inlineStr">
        <is>
          <t>Nano</t>
        </is>
      </c>
      <c r="G108" s="47" t="inlineStr">
        <is>
          <t>Reviewed on</t>
        </is>
      </c>
      <c r="H108" s="46" t="inlineStr">
        <is>
          <t>The day of the review.</t>
        </is>
      </c>
      <c r="I108" s="46" t="inlineStr">
        <is>
          <t>date</t>
        </is>
      </c>
      <c r="J108" s="46" t="inlineStr">
        <is>
          <t>atomic</t>
        </is>
      </c>
      <c r="K108" s="46" t="inlineStr">
        <is>
          <t>required</t>
        </is>
      </c>
      <c r="L108" s="46" t="inlineStr">
        <is>
          <t>date, not in the future</t>
        </is>
      </c>
      <c r="M108" s="46" t="inlineStr">
        <is>
          <t>2026-10-21</t>
        </is>
      </c>
      <c r="N108" s="46" t="inlineStr">
        <is>
          <t>review_log</t>
        </is>
      </c>
      <c r="O108" s="46" t="inlineStr">
        <is>
          <t>reviewed_on</t>
        </is>
      </c>
    </row>
    <row r="109">
      <c r="A109" s="43" t="inlineStr">
        <is>
          <t>Step 04</t>
        </is>
      </c>
      <c r="B109" s="43" t="inlineStr">
        <is>
          <t>SEC-09</t>
        </is>
      </c>
      <c r="C109" s="43" t="inlineStr">
        <is>
          <t>NFR Identity</t>
        </is>
      </c>
      <c r="D109" s="43" t="inlineStr">
        <is>
          <t>9</t>
        </is>
      </c>
      <c r="E109" s="43" t="n">
        <v>1</v>
      </c>
      <c r="F109" s="43" t="inlineStr">
        <is>
          <t>Macro</t>
        </is>
      </c>
      <c r="G109" s="43" t="inlineStr">
        <is>
          <t>NFR Identity</t>
        </is>
      </c>
      <c r="H109" s="43" t="inlineStr">
        <is>
          <t>Which quality requirement it is and what it says.</t>
        </is>
      </c>
      <c r="I109" s="43" t="n"/>
      <c r="J109" s="43" t="n"/>
      <c r="K109" s="43" t="n"/>
      <c r="L109" s="43" t="n"/>
      <c r="M109" s="43" t="n"/>
      <c r="N109" s="43" t="inlineStr">
        <is>
          <t>nfr</t>
        </is>
      </c>
      <c r="O109" s="43" t="n"/>
    </row>
    <row r="110">
      <c r="A110" s="44" t="inlineStr">
        <is>
          <t>Step 04</t>
        </is>
      </c>
      <c r="B110" s="44" t="inlineStr">
        <is>
          <t>SEC-09</t>
        </is>
      </c>
      <c r="C110" s="44" t="inlineStr">
        <is>
          <t>NFR Identity</t>
        </is>
      </c>
      <c r="D110" s="44" t="inlineStr">
        <is>
          <t>9.1</t>
        </is>
      </c>
      <c r="E110" s="44" t="n">
        <v>2</v>
      </c>
      <c r="F110" s="44" t="inlineStr">
        <is>
          <t>Micro</t>
        </is>
      </c>
      <c r="G110" s="45" t="inlineStr">
        <is>
          <t>NFR identity</t>
        </is>
      </c>
      <c r="H110" s="44" t="inlineStr">
        <is>
          <t>The NFR's code, its area and its words.</t>
        </is>
      </c>
      <c r="I110" s="44" t="n"/>
      <c r="J110" s="44" t="n"/>
      <c r="K110" s="44" t="n"/>
      <c r="L110" s="44" t="n"/>
      <c r="M110" s="44" t="n"/>
      <c r="N110" s="44" t="inlineStr">
        <is>
          <t>nfr</t>
        </is>
      </c>
      <c r="O110" s="44" t="inlineStr">
        <is>
          <t>(3 columns)</t>
        </is>
      </c>
    </row>
    <row r="111">
      <c r="A111" s="46" t="inlineStr">
        <is>
          <t>Step 04</t>
        </is>
      </c>
      <c r="B111" s="46" t="inlineStr">
        <is>
          <t>SEC-09</t>
        </is>
      </c>
      <c r="C111" s="46" t="inlineStr">
        <is>
          <t>NFR Identity</t>
        </is>
      </c>
      <c r="D111" s="46" t="inlineStr">
        <is>
          <t>9.1.1</t>
        </is>
      </c>
      <c r="E111" s="46" t="n">
        <v>3</v>
      </c>
      <c r="F111" s="46" t="inlineStr">
        <is>
          <t>Nano</t>
        </is>
      </c>
      <c r="G111" s="47" t="inlineStr">
        <is>
          <t>NFR id</t>
        </is>
      </c>
      <c r="H111" s="46" t="inlineStr">
        <is>
          <t>One fixed code for the NFR.</t>
        </is>
      </c>
      <c r="I111" s="46" t="inlineStr">
        <is>
          <t>id</t>
        </is>
      </c>
      <c r="J111" s="46" t="inlineStr">
        <is>
          <t>atomic</t>
        </is>
      </c>
      <c r="K111" s="46" t="inlineStr">
        <is>
          <t>required</t>
        </is>
      </c>
      <c r="L111" s="46" t="inlineStr">
        <is>
          <t>unique, pattern NFR-nn</t>
        </is>
      </c>
      <c r="M111" s="46" t="inlineStr">
        <is>
          <t>NFR-01</t>
        </is>
      </c>
      <c r="N111" s="46" t="inlineStr">
        <is>
          <t>nfr</t>
        </is>
      </c>
      <c r="O111" s="46" t="inlineStr">
        <is>
          <t>nfr_id</t>
        </is>
      </c>
    </row>
    <row r="112">
      <c r="A112" s="46" t="inlineStr">
        <is>
          <t>Step 04</t>
        </is>
      </c>
      <c r="B112" s="46" t="inlineStr">
        <is>
          <t>SEC-09</t>
        </is>
      </c>
      <c r="C112" s="46" t="inlineStr">
        <is>
          <t>NFR Identity</t>
        </is>
      </c>
      <c r="D112" s="46" t="inlineStr">
        <is>
          <t>9.1.2</t>
        </is>
      </c>
      <c r="E112" s="46" t="n">
        <v>3</v>
      </c>
      <c r="F112" s="46" t="inlineStr">
        <is>
          <t>Nano</t>
        </is>
      </c>
      <c r="G112" s="47" t="inlineStr">
        <is>
          <t>Quality area</t>
        </is>
      </c>
      <c r="H112" s="46" t="inlineStr">
        <is>
          <t>The area of quality it belongs to.</t>
        </is>
      </c>
      <c r="I112" s="46" t="inlineStr">
        <is>
          <t>enum</t>
        </is>
      </c>
      <c r="J112" s="46" t="inlineStr">
        <is>
          <t>atomic</t>
        </is>
      </c>
      <c r="K112" s="46" t="inlineStr">
        <is>
          <t>required</t>
        </is>
      </c>
      <c r="L112" s="46" t="inlineStr">
        <is>
          <t>list: NfrCategory</t>
        </is>
      </c>
      <c r="M112" s="46" t="inlineStr">
        <is>
          <t>Scale</t>
        </is>
      </c>
      <c r="N112" s="46" t="inlineStr">
        <is>
          <t>nfr</t>
        </is>
      </c>
      <c r="O112" s="46" t="inlineStr">
        <is>
          <t>category</t>
        </is>
      </c>
    </row>
    <row r="113">
      <c r="A113" s="46" t="inlineStr">
        <is>
          <t>Step 04</t>
        </is>
      </c>
      <c r="B113" s="46" t="inlineStr">
        <is>
          <t>SEC-09</t>
        </is>
      </c>
      <c r="C113" s="46" t="inlineStr">
        <is>
          <t>NFR Identity</t>
        </is>
      </c>
      <c r="D113" s="46" t="inlineStr">
        <is>
          <t>9.1.3</t>
        </is>
      </c>
      <c r="E113" s="46" t="n">
        <v>3</v>
      </c>
      <c r="F113" s="46" t="inlineStr">
        <is>
          <t>Nano</t>
        </is>
      </c>
      <c r="G113" s="47" t="inlineStr">
        <is>
          <t>Requirement statement</t>
        </is>
      </c>
      <c r="H113" s="46" t="inlineStr">
        <is>
          <t>The requirement in one or two plain sentences.</t>
        </is>
      </c>
      <c r="I113" s="46" t="inlineStr">
        <is>
          <t>text</t>
        </is>
      </c>
      <c r="J113" s="46" t="inlineStr">
        <is>
          <t>atomic</t>
        </is>
      </c>
      <c r="K113" s="46" t="inlineStr">
        <is>
          <t>required</t>
        </is>
      </c>
      <c r="L113" s="46" t="inlineStr">
        <is>
          <t>1 to 500 characters</t>
        </is>
      </c>
      <c r="M113" s="46" t="inlineStr">
        <is>
          <t>The design holds 1 million candidates</t>
        </is>
      </c>
      <c r="N113" s="46" t="inlineStr">
        <is>
          <t>nfr</t>
        </is>
      </c>
      <c r="O113" s="46" t="inlineStr">
        <is>
          <t>requirement_statement</t>
        </is>
      </c>
    </row>
    <row r="114">
      <c r="A114" s="44" t="inlineStr">
        <is>
          <t>Step 04</t>
        </is>
      </c>
      <c r="B114" s="44" t="inlineStr">
        <is>
          <t>SEC-09</t>
        </is>
      </c>
      <c r="C114" s="44" t="inlineStr">
        <is>
          <t>NFR Identity</t>
        </is>
      </c>
      <c r="D114" s="44" t="inlineStr">
        <is>
          <t>9.2</t>
        </is>
      </c>
      <c r="E114" s="44" t="n">
        <v>2</v>
      </c>
      <c r="F114" s="44" t="inlineStr">
        <is>
          <t>Micro</t>
        </is>
      </c>
      <c r="G114" s="45" t="inlineStr">
        <is>
          <t>NFR origin</t>
        </is>
      </c>
      <c r="H114" s="44" t="inlineStr">
        <is>
          <t>Where the NFR was recorded.</t>
        </is>
      </c>
      <c r="I114" s="44" t="n"/>
      <c r="J114" s="44" t="n"/>
      <c r="K114" s="44" t="n"/>
      <c r="L114" s="44" t="n"/>
      <c r="M114" s="44" t="n"/>
      <c r="N114" s="44" t="inlineStr">
        <is>
          <t>nfr</t>
        </is>
      </c>
      <c r="O114" s="44" t="inlineStr">
        <is>
          <t>(1 columns)</t>
        </is>
      </c>
    </row>
    <row r="115">
      <c r="A115" s="46" t="inlineStr">
        <is>
          <t>Step 04</t>
        </is>
      </c>
      <c r="B115" s="46" t="inlineStr">
        <is>
          <t>SEC-09</t>
        </is>
      </c>
      <c r="C115" s="46" t="inlineStr">
        <is>
          <t>NFR Identity</t>
        </is>
      </c>
      <c r="D115" s="46" t="inlineStr">
        <is>
          <t>9.2.1</t>
        </is>
      </c>
      <c r="E115" s="46" t="n">
        <v>3</v>
      </c>
      <c r="F115" s="46" t="inlineStr">
        <is>
          <t>Nano</t>
        </is>
      </c>
      <c r="G115" s="47" t="inlineStr">
        <is>
          <t>Source reference</t>
        </is>
      </c>
      <c r="H115" s="46" t="inlineStr">
        <is>
          <t>The document and row that records it.</t>
        </is>
      </c>
      <c r="I115" s="46" t="inlineStr">
        <is>
          <t>text</t>
        </is>
      </c>
      <c r="J115" s="46" t="inlineStr">
        <is>
          <t>atomic</t>
        </is>
      </c>
      <c r="K115" s="46" t="inlineStr">
        <is>
          <t>required</t>
        </is>
      </c>
      <c r="L115" s="46" t="inlineStr">
        <is>
          <t>1 to 200 characters</t>
        </is>
      </c>
      <c r="M115" s="46" t="inlineStr">
        <is>
          <t>Requirements workbook, NFR sheet, NFR-01</t>
        </is>
      </c>
      <c r="N115" s="46" t="inlineStr">
        <is>
          <t>nfr</t>
        </is>
      </c>
      <c r="O115" s="46" t="inlineStr">
        <is>
          <t>source_reference</t>
        </is>
      </c>
    </row>
    <row r="116">
      <c r="A116" s="43" t="inlineStr">
        <is>
          <t>Step 04</t>
        </is>
      </c>
      <c r="B116" s="43" t="inlineStr">
        <is>
          <t>SEC-10</t>
        </is>
      </c>
      <c r="C116" s="43" t="inlineStr">
        <is>
          <t>NFR Target</t>
        </is>
      </c>
      <c r="D116" s="43" t="inlineStr">
        <is>
          <t>10</t>
        </is>
      </c>
      <c r="E116" s="43" t="n">
        <v>1</v>
      </c>
      <c r="F116" s="43" t="inlineStr">
        <is>
          <t>Macro</t>
        </is>
      </c>
      <c r="G116" s="43" t="inlineStr">
        <is>
          <t>NFR Target</t>
        </is>
      </c>
      <c r="H116" s="43" t="inlineStr">
        <is>
          <t>The measurable number the design must meet.</t>
        </is>
      </c>
      <c r="I116" s="43" t="n"/>
      <c r="J116" s="43" t="n"/>
      <c r="K116" s="43" t="n"/>
      <c r="L116" s="43" t="n"/>
      <c r="M116" s="43" t="n"/>
      <c r="N116" s="43" t="inlineStr">
        <is>
          <t>nfr</t>
        </is>
      </c>
      <c r="O116" s="43" t="n"/>
    </row>
    <row r="117">
      <c r="A117" s="44" t="inlineStr">
        <is>
          <t>Step 04</t>
        </is>
      </c>
      <c r="B117" s="44" t="inlineStr">
        <is>
          <t>SEC-10</t>
        </is>
      </c>
      <c r="C117" s="44" t="inlineStr">
        <is>
          <t>NFR Target</t>
        </is>
      </c>
      <c r="D117" s="44" t="inlineStr">
        <is>
          <t>10.1</t>
        </is>
      </c>
      <c r="E117" s="44" t="n">
        <v>2</v>
      </c>
      <c r="F117" s="44" t="inlineStr">
        <is>
          <t>Micro</t>
        </is>
      </c>
      <c r="G117" s="45" t="inlineStr">
        <is>
          <t>Metric</t>
        </is>
      </c>
      <c r="H117" s="44" t="inlineStr">
        <is>
          <t>What is measured and in which unit.</t>
        </is>
      </c>
      <c r="I117" s="44" t="n"/>
      <c r="J117" s="44" t="n"/>
      <c r="K117" s="44" t="n"/>
      <c r="L117" s="44" t="n"/>
      <c r="M117" s="44" t="n"/>
      <c r="N117" s="44" t="inlineStr">
        <is>
          <t>nfr</t>
        </is>
      </c>
      <c r="O117" s="44" t="inlineStr">
        <is>
          <t>(2 columns)</t>
        </is>
      </c>
    </row>
    <row r="118">
      <c r="A118" s="46" t="inlineStr">
        <is>
          <t>Step 04</t>
        </is>
      </c>
      <c r="B118" s="46" t="inlineStr">
        <is>
          <t>SEC-10</t>
        </is>
      </c>
      <c r="C118" s="46" t="inlineStr">
        <is>
          <t>NFR Target</t>
        </is>
      </c>
      <c r="D118" s="46" t="inlineStr">
        <is>
          <t>10.1.1</t>
        </is>
      </c>
      <c r="E118" s="46" t="n">
        <v>3</v>
      </c>
      <c r="F118" s="46" t="inlineStr">
        <is>
          <t>Nano</t>
        </is>
      </c>
      <c r="G118" s="47" t="inlineStr">
        <is>
          <t>Metric</t>
        </is>
      </c>
      <c r="H118" s="46" t="inlineStr">
        <is>
          <t>The thing that is measured.</t>
        </is>
      </c>
      <c r="I118" s="46" t="inlineStr">
        <is>
          <t>text</t>
        </is>
      </c>
      <c r="J118" s="46" t="inlineStr">
        <is>
          <t>atomic</t>
        </is>
      </c>
      <c r="K118" s="46" t="inlineStr">
        <is>
          <t>required</t>
        </is>
      </c>
      <c r="L118" s="46" t="inlineStr">
        <is>
          <t>1 to 150 characters</t>
        </is>
      </c>
      <c r="M118" s="46" t="inlineStr">
        <is>
          <t>Candidates held</t>
        </is>
      </c>
      <c r="N118" s="46" t="inlineStr">
        <is>
          <t>nfr</t>
        </is>
      </c>
      <c r="O118" s="46" t="inlineStr">
        <is>
          <t>metric</t>
        </is>
      </c>
    </row>
    <row r="119">
      <c r="A119" s="46" t="inlineStr">
        <is>
          <t>Step 04</t>
        </is>
      </c>
      <c r="B119" s="46" t="inlineStr">
        <is>
          <t>SEC-10</t>
        </is>
      </c>
      <c r="C119" s="46" t="inlineStr">
        <is>
          <t>NFR Target</t>
        </is>
      </c>
      <c r="D119" s="46" t="inlineStr">
        <is>
          <t>10.1.2</t>
        </is>
      </c>
      <c r="E119" s="46" t="n">
        <v>3</v>
      </c>
      <c r="F119" s="46" t="inlineStr">
        <is>
          <t>Nano</t>
        </is>
      </c>
      <c r="G119" s="47" t="inlineStr">
        <is>
          <t>Unit</t>
        </is>
      </c>
      <c r="H119" s="46" t="inlineStr">
        <is>
          <t>The unit of the number.</t>
        </is>
      </c>
      <c r="I119" s="46" t="inlineStr">
        <is>
          <t>text</t>
        </is>
      </c>
      <c r="J119" s="46" t="inlineStr">
        <is>
          <t>atomic</t>
        </is>
      </c>
      <c r="K119" s="46" t="inlineStr">
        <is>
          <t>conditional</t>
        </is>
      </c>
      <c r="L119" s="46" t="inlineStr">
        <is>
          <t>required when a target value is set</t>
        </is>
      </c>
      <c r="M119" s="46" t="inlineStr">
        <is>
          <t>candidates</t>
        </is>
      </c>
      <c r="N119" s="46" t="inlineStr">
        <is>
          <t>nfr</t>
        </is>
      </c>
      <c r="O119" s="46" t="inlineStr">
        <is>
          <t>unit</t>
        </is>
      </c>
    </row>
    <row r="120">
      <c r="A120" s="44" t="inlineStr">
        <is>
          <t>Step 04</t>
        </is>
      </c>
      <c r="B120" s="44" t="inlineStr">
        <is>
          <t>SEC-10</t>
        </is>
      </c>
      <c r="C120" s="44" t="inlineStr">
        <is>
          <t>NFR Target</t>
        </is>
      </c>
      <c r="D120" s="44" t="inlineStr">
        <is>
          <t>10.2</t>
        </is>
      </c>
      <c r="E120" s="44" t="n">
        <v>2</v>
      </c>
      <c r="F120" s="44" t="inlineStr">
        <is>
          <t>Micro</t>
        </is>
      </c>
      <c r="G120" s="45" t="inlineStr">
        <is>
          <t>Target</t>
        </is>
      </c>
      <c r="H120" s="44" t="inlineStr">
        <is>
          <t>The number to meet, and how it is read.</t>
        </is>
      </c>
      <c r="I120" s="44" t="n"/>
      <c r="J120" s="44" t="n"/>
      <c r="K120" s="44" t="n"/>
      <c r="L120" s="44" t="n"/>
      <c r="M120" s="44" t="n"/>
      <c r="N120" s="44" t="inlineStr">
        <is>
          <t>nfr</t>
        </is>
      </c>
      <c r="O120" s="44" t="inlineStr">
        <is>
          <t>(4 columns)</t>
        </is>
      </c>
    </row>
    <row r="121">
      <c r="A121" s="46" t="inlineStr">
        <is>
          <t>Step 04</t>
        </is>
      </c>
      <c r="B121" s="46" t="inlineStr">
        <is>
          <t>SEC-10</t>
        </is>
      </c>
      <c r="C121" s="46" t="inlineStr">
        <is>
          <t>NFR Target</t>
        </is>
      </c>
      <c r="D121" s="46" t="inlineStr">
        <is>
          <t>10.2.1</t>
        </is>
      </c>
      <c r="E121" s="46" t="n">
        <v>3</v>
      </c>
      <c r="F121" s="46" t="inlineStr">
        <is>
          <t>Nano</t>
        </is>
      </c>
      <c r="G121" s="47" t="inlineStr">
        <is>
          <t>Comparator</t>
        </is>
      </c>
      <c r="H121" s="46" t="inlineStr">
        <is>
          <t>At most, at least or exactly.</t>
        </is>
      </c>
      <c r="I121" s="46" t="inlineStr">
        <is>
          <t>enum</t>
        </is>
      </c>
      <c r="J121" s="46" t="inlineStr">
        <is>
          <t>atomic</t>
        </is>
      </c>
      <c r="K121" s="46" t="inlineStr">
        <is>
          <t>conditional</t>
        </is>
      </c>
      <c r="L121" s="46" t="inlineStr">
        <is>
          <t>list: Comparator; required when a target value is set</t>
        </is>
      </c>
      <c r="M121" s="46" t="inlineStr">
        <is>
          <t>At least</t>
        </is>
      </c>
      <c r="N121" s="46" t="inlineStr">
        <is>
          <t>nfr</t>
        </is>
      </c>
      <c r="O121" s="46" t="inlineStr">
        <is>
          <t>comparator</t>
        </is>
      </c>
    </row>
    <row r="122">
      <c r="A122" s="46" t="inlineStr">
        <is>
          <t>Step 04</t>
        </is>
      </c>
      <c r="B122" s="46" t="inlineStr">
        <is>
          <t>SEC-10</t>
        </is>
      </c>
      <c r="C122" s="46" t="inlineStr">
        <is>
          <t>NFR Target</t>
        </is>
      </c>
      <c r="D122" s="46" t="inlineStr">
        <is>
          <t>10.2.2</t>
        </is>
      </c>
      <c r="E122" s="46" t="n">
        <v>3</v>
      </c>
      <c r="F122" s="46" t="inlineStr">
        <is>
          <t>Nano</t>
        </is>
      </c>
      <c r="G122" s="47" t="inlineStr">
        <is>
          <t>Target value</t>
        </is>
      </c>
      <c r="H122" s="46" t="inlineStr">
        <is>
          <t>The number. Left empty when the target is not a number yet.</t>
        </is>
      </c>
      <c r="I122" s="46" t="inlineStr">
        <is>
          <t>decimal</t>
        </is>
      </c>
      <c r="J122" s="46" t="inlineStr">
        <is>
          <t>atomic</t>
        </is>
      </c>
      <c r="K122" s="46" t="inlineStr">
        <is>
          <t>conditional</t>
        </is>
      </c>
      <c r="L122" s="46" t="inlineStr">
        <is>
          <t>0 or more</t>
        </is>
      </c>
      <c r="M122" s="46" t="inlineStr">
        <is>
          <t>1000000</t>
        </is>
      </c>
      <c r="N122" s="46" t="inlineStr">
        <is>
          <t>nfr</t>
        </is>
      </c>
      <c r="O122" s="46" t="inlineStr">
        <is>
          <t>target_value</t>
        </is>
      </c>
    </row>
    <row r="123">
      <c r="A123" s="46" t="inlineStr">
        <is>
          <t>Step 04</t>
        </is>
      </c>
      <c r="B123" s="46" t="inlineStr">
        <is>
          <t>SEC-10</t>
        </is>
      </c>
      <c r="C123" s="46" t="inlineStr">
        <is>
          <t>NFR Target</t>
        </is>
      </c>
      <c r="D123" s="46" t="inlineStr">
        <is>
          <t>10.2.3</t>
        </is>
      </c>
      <c r="E123" s="46" t="n">
        <v>3</v>
      </c>
      <c r="F123" s="46" t="inlineStr">
        <is>
          <t>Nano</t>
        </is>
      </c>
      <c r="G123" s="47" t="inlineStr">
        <is>
          <t>Target as written</t>
        </is>
      </c>
      <c r="H123" s="46" t="inlineStr">
        <is>
          <t>The target in words, as recorded.</t>
        </is>
      </c>
      <c r="I123" s="46" t="inlineStr">
        <is>
          <t>text</t>
        </is>
      </c>
      <c r="J123" s="46" t="inlineStr">
        <is>
          <t>atomic</t>
        </is>
      </c>
      <c r="K123" s="46" t="inlineStr">
        <is>
          <t>required</t>
        </is>
      </c>
      <c r="L123" s="46" t="inlineStr">
        <is>
          <t>1 to 300 characters</t>
        </is>
      </c>
      <c r="M123" s="46" t="inlineStr">
        <is>
          <t>1M candidates, 100M applications</t>
        </is>
      </c>
      <c r="N123" s="46" t="inlineStr">
        <is>
          <t>nfr</t>
        </is>
      </c>
      <c r="O123" s="46" t="inlineStr">
        <is>
          <t>target_text</t>
        </is>
      </c>
    </row>
    <row r="124">
      <c r="A124" s="46" t="inlineStr">
        <is>
          <t>Step 04</t>
        </is>
      </c>
      <c r="B124" s="46" t="inlineStr">
        <is>
          <t>SEC-10</t>
        </is>
      </c>
      <c r="C124" s="46" t="inlineStr">
        <is>
          <t>NFR Target</t>
        </is>
      </c>
      <c r="D124" s="46" t="inlineStr">
        <is>
          <t>10.2.4</t>
        </is>
      </c>
      <c r="E124" s="46" t="n">
        <v>3</v>
      </c>
      <c r="F124" s="46" t="inlineStr">
        <is>
          <t>Nano</t>
        </is>
      </c>
      <c r="G124" s="47" t="inlineStr">
        <is>
          <t>Target status</t>
        </is>
      </c>
      <c r="H124" s="46" t="inlineStr">
        <is>
          <t>Set, or still to be set.</t>
        </is>
      </c>
      <c r="I124" s="46" t="inlineStr">
        <is>
          <t>enum</t>
        </is>
      </c>
      <c r="J124" s="46" t="inlineStr">
        <is>
          <t>atomic</t>
        </is>
      </c>
      <c r="K124" s="46" t="inlineStr">
        <is>
          <t>required</t>
        </is>
      </c>
      <c r="L124" s="46" t="inlineStr">
        <is>
          <t>list: TargetStatus</t>
        </is>
      </c>
      <c r="M124" s="46" t="inlineStr">
        <is>
          <t>Set</t>
        </is>
      </c>
      <c r="N124" s="46" t="inlineStr">
        <is>
          <t>nfr</t>
        </is>
      </c>
      <c r="O124" s="46" t="inlineStr">
        <is>
          <t>target_status</t>
        </is>
      </c>
    </row>
    <row r="125">
      <c r="A125" s="43" t="inlineStr">
        <is>
          <t>Step 04</t>
        </is>
      </c>
      <c r="B125" s="43" t="inlineStr">
        <is>
          <t>SEC-11</t>
        </is>
      </c>
      <c r="C125" s="43" t="inlineStr">
        <is>
          <t>NFR Measurement</t>
        </is>
      </c>
      <c r="D125" s="43" t="inlineStr">
        <is>
          <t>11</t>
        </is>
      </c>
      <c r="E125" s="43" t="n">
        <v>1</v>
      </c>
      <c r="F125" s="43" t="inlineStr">
        <is>
          <t>Macro</t>
        </is>
      </c>
      <c r="G125" s="43" t="inlineStr">
        <is>
          <t>NFR Measurement</t>
        </is>
      </c>
      <c r="H125" s="43" t="inlineStr">
        <is>
          <t>How the target is proven. The playbook says every NFR needs a test method.</t>
        </is>
      </c>
      <c r="I125" s="43" t="n"/>
      <c r="J125" s="43" t="n"/>
      <c r="K125" s="43" t="n"/>
      <c r="L125" s="43" t="n"/>
      <c r="M125" s="43" t="n"/>
      <c r="N125" s="43" t="inlineStr">
        <is>
          <t>nfr</t>
        </is>
      </c>
      <c r="O125" s="43" t="n"/>
    </row>
    <row r="126">
      <c r="A126" s="44" t="inlineStr">
        <is>
          <t>Step 04</t>
        </is>
      </c>
      <c r="B126" s="44" t="inlineStr">
        <is>
          <t>SEC-11</t>
        </is>
      </c>
      <c r="C126" s="44" t="inlineStr">
        <is>
          <t>NFR Measurement</t>
        </is>
      </c>
      <c r="D126" s="44" t="inlineStr">
        <is>
          <t>11.1</t>
        </is>
      </c>
      <c r="E126" s="44" t="n">
        <v>2</v>
      </c>
      <c r="F126" s="44" t="inlineStr">
        <is>
          <t>Micro</t>
        </is>
      </c>
      <c r="G126" s="45" t="inlineStr">
        <is>
          <t>Test method</t>
        </is>
      </c>
      <c r="H126" s="44" t="inlineStr">
        <is>
          <t>How it is measured.</t>
        </is>
      </c>
      <c r="I126" s="44" t="n"/>
      <c r="J126" s="44" t="n"/>
      <c r="K126" s="44" t="n"/>
      <c r="L126" s="44" t="n"/>
      <c r="M126" s="44" t="n"/>
      <c r="N126" s="44" t="inlineStr">
        <is>
          <t>nfr</t>
        </is>
      </c>
      <c r="O126" s="44" t="inlineStr">
        <is>
          <t>(3 columns)</t>
        </is>
      </c>
    </row>
    <row r="127">
      <c r="A127" s="46" t="inlineStr">
        <is>
          <t>Step 04</t>
        </is>
      </c>
      <c r="B127" s="46" t="inlineStr">
        <is>
          <t>SEC-11</t>
        </is>
      </c>
      <c r="C127" s="46" t="inlineStr">
        <is>
          <t>NFR Measurement</t>
        </is>
      </c>
      <c r="D127" s="46" t="inlineStr">
        <is>
          <t>11.1.1</t>
        </is>
      </c>
      <c r="E127" s="46" t="n">
        <v>3</v>
      </c>
      <c r="F127" s="46" t="inlineStr">
        <is>
          <t>Nano</t>
        </is>
      </c>
      <c r="G127" s="47" t="inlineStr">
        <is>
          <t>Test method</t>
        </is>
      </c>
      <c r="H127" s="46" t="inlineStr">
        <is>
          <t>How it is met or checked, in plain words.</t>
        </is>
      </c>
      <c r="I127" s="46" t="inlineStr">
        <is>
          <t>text</t>
        </is>
      </c>
      <c r="J127" s="46" t="inlineStr">
        <is>
          <t>atomic</t>
        </is>
      </c>
      <c r="K127" s="46" t="inlineStr">
        <is>
          <t>required</t>
        </is>
      </c>
      <c r="L127" s="46" t="inlineStr">
        <is>
          <t>1 to 400 characters</t>
        </is>
      </c>
      <c r="M127" s="46" t="inlineStr">
        <is>
          <t>EXPLAIN ANALYZE at scale</t>
        </is>
      </c>
      <c r="N127" s="46" t="inlineStr">
        <is>
          <t>nfr</t>
        </is>
      </c>
      <c r="O127" s="46" t="inlineStr">
        <is>
          <t>test_method</t>
        </is>
      </c>
    </row>
    <row r="128">
      <c r="A128" s="46" t="inlineStr">
        <is>
          <t>Step 04</t>
        </is>
      </c>
      <c r="B128" s="46" t="inlineStr">
        <is>
          <t>SEC-11</t>
        </is>
      </c>
      <c r="C128" s="46" t="inlineStr">
        <is>
          <t>NFR Measurement</t>
        </is>
      </c>
      <c r="D128" s="46" t="inlineStr">
        <is>
          <t>11.1.2</t>
        </is>
      </c>
      <c r="E128" s="46" t="n">
        <v>3</v>
      </c>
      <c r="F128" s="46" t="inlineStr">
        <is>
          <t>Nano</t>
        </is>
      </c>
      <c r="G128" s="47" t="inlineStr">
        <is>
          <t>Measured by</t>
        </is>
      </c>
      <c r="H128" s="46" t="inlineStr">
        <is>
          <t>The kind of check.</t>
        </is>
      </c>
      <c r="I128" s="46" t="inlineStr">
        <is>
          <t>enum</t>
        </is>
      </c>
      <c r="J128" s="46" t="inlineStr">
        <is>
          <t>atomic</t>
        </is>
      </c>
      <c r="K128" s="46" t="inlineStr">
        <is>
          <t>required</t>
        </is>
      </c>
      <c r="L128" s="46" t="inlineStr">
        <is>
          <t>list: MeasuredBy</t>
        </is>
      </c>
      <c r="M128" s="46" t="inlineStr">
        <is>
          <t>Query plan</t>
        </is>
      </c>
      <c r="N128" s="46" t="inlineStr">
        <is>
          <t>nfr</t>
        </is>
      </c>
      <c r="O128" s="46" t="inlineStr">
        <is>
          <t>measured_by</t>
        </is>
      </c>
    </row>
    <row r="129">
      <c r="A129" s="46" t="inlineStr">
        <is>
          <t>Step 04</t>
        </is>
      </c>
      <c r="B129" s="46" t="inlineStr">
        <is>
          <t>SEC-11</t>
        </is>
      </c>
      <c r="C129" s="46" t="inlineStr">
        <is>
          <t>NFR Measurement</t>
        </is>
      </c>
      <c r="D129" s="46" t="inlineStr">
        <is>
          <t>11.1.3</t>
        </is>
      </c>
      <c r="E129" s="46" t="n">
        <v>3</v>
      </c>
      <c r="F129" s="46" t="inlineStr">
        <is>
          <t>Nano</t>
        </is>
      </c>
      <c r="G129" s="47" t="inlineStr">
        <is>
          <t>Evidence reference</t>
        </is>
      </c>
      <c r="H129" s="46" t="inlineStr">
        <is>
          <t>The file or test that holds the proof.</t>
        </is>
      </c>
      <c r="I129" s="46" t="inlineStr">
        <is>
          <t>text</t>
        </is>
      </c>
      <c r="J129" s="46" t="inlineStr">
        <is>
          <t>atomic</t>
        </is>
      </c>
      <c r="K129" s="46" t="inlineStr">
        <is>
          <t>optional</t>
        </is>
      </c>
      <c r="L129" s="46" t="inlineStr">
        <is>
          <t>0 to 300 characters</t>
        </is>
      </c>
      <c r="M129" s="46" t="inlineStr">
        <is>
          <t>tests/constraint_tests.sql</t>
        </is>
      </c>
      <c r="N129" s="46" t="inlineStr">
        <is>
          <t>nfr</t>
        </is>
      </c>
      <c r="O129" s="46" t="inlineStr">
        <is>
          <t>evidence_reference</t>
        </is>
      </c>
    </row>
    <row r="130">
      <c r="A130" s="43" t="inlineStr">
        <is>
          <t>Step 04</t>
        </is>
      </c>
      <c r="B130" s="43" t="inlineStr">
        <is>
          <t>SEC-12</t>
        </is>
      </c>
      <c r="C130" s="43" t="inlineStr">
        <is>
          <t>NFR Basis</t>
        </is>
      </c>
      <c r="D130" s="43" t="inlineStr">
        <is>
          <t>12</t>
        </is>
      </c>
      <c r="E130" s="43" t="n">
        <v>1</v>
      </c>
      <c r="F130" s="43" t="inlineStr">
        <is>
          <t>Macro</t>
        </is>
      </c>
      <c r="G130" s="43" t="inlineStr">
        <is>
          <t>NFR Basis</t>
        </is>
      </c>
      <c r="H130" s="43" t="inlineStr">
        <is>
          <t>Go deeper: derive targets from volumes and name the regulation that applies.</t>
        </is>
      </c>
      <c r="I130" s="43" t="n"/>
      <c r="J130" s="43" t="n"/>
      <c r="K130" s="43" t="n"/>
      <c r="L130" s="43" t="n"/>
      <c r="M130" s="43" t="n"/>
      <c r="N130" s="43" t="inlineStr">
        <is>
          <t>nfr</t>
        </is>
      </c>
      <c r="O130" s="43" t="n"/>
    </row>
    <row r="131">
      <c r="A131" s="44" t="inlineStr">
        <is>
          <t>Step 04</t>
        </is>
      </c>
      <c r="B131" s="44" t="inlineStr">
        <is>
          <t>SEC-12</t>
        </is>
      </c>
      <c r="C131" s="44" t="inlineStr">
        <is>
          <t>NFR Basis</t>
        </is>
      </c>
      <c r="D131" s="44" t="inlineStr">
        <is>
          <t>12.1</t>
        </is>
      </c>
      <c r="E131" s="44" t="n">
        <v>2</v>
      </c>
      <c r="F131" s="44" t="inlineStr">
        <is>
          <t>Micro</t>
        </is>
      </c>
      <c r="G131" s="45" t="inlineStr">
        <is>
          <t>Derivation</t>
        </is>
      </c>
      <c r="H131" s="44" t="inlineStr">
        <is>
          <t>Why this target and not another.</t>
        </is>
      </c>
      <c r="I131" s="44" t="n"/>
      <c r="J131" s="44" t="n"/>
      <c r="K131" s="44" t="n"/>
      <c r="L131" s="44" t="n"/>
      <c r="M131" s="44" t="n"/>
      <c r="N131" s="44" t="inlineStr">
        <is>
          <t>nfr</t>
        </is>
      </c>
      <c r="O131" s="44" t="inlineStr">
        <is>
          <t>(2 columns)</t>
        </is>
      </c>
    </row>
    <row r="132">
      <c r="A132" s="46" t="inlineStr">
        <is>
          <t>Step 04</t>
        </is>
      </c>
      <c r="B132" s="46" t="inlineStr">
        <is>
          <t>SEC-12</t>
        </is>
      </c>
      <c r="C132" s="46" t="inlineStr">
        <is>
          <t>NFR Basis</t>
        </is>
      </c>
      <c r="D132" s="46" t="inlineStr">
        <is>
          <t>12.1.1</t>
        </is>
      </c>
      <c r="E132" s="46" t="n">
        <v>3</v>
      </c>
      <c r="F132" s="46" t="inlineStr">
        <is>
          <t>Nano</t>
        </is>
      </c>
      <c r="G132" s="47" t="inlineStr">
        <is>
          <t>Derived from</t>
        </is>
      </c>
      <c r="H132" s="46" t="inlineStr">
        <is>
          <t>Volumes, a regulation, a standard or a team decision.</t>
        </is>
      </c>
      <c r="I132" s="46" t="inlineStr">
        <is>
          <t>enum</t>
        </is>
      </c>
      <c r="J132" s="46" t="inlineStr">
        <is>
          <t>atomic</t>
        </is>
      </c>
      <c r="K132" s="46" t="inlineStr">
        <is>
          <t>required</t>
        </is>
      </c>
      <c r="L132" s="46" t="inlineStr">
        <is>
          <t>list: DerivedFrom</t>
        </is>
      </c>
      <c r="M132" s="46" t="inlineStr">
        <is>
          <t>Volumes</t>
        </is>
      </c>
      <c r="N132" s="46" t="inlineStr">
        <is>
          <t>nfr</t>
        </is>
      </c>
      <c r="O132" s="46" t="inlineStr">
        <is>
          <t>derived_from</t>
        </is>
      </c>
    </row>
    <row r="133">
      <c r="A133" s="46" t="inlineStr">
        <is>
          <t>Step 04</t>
        </is>
      </c>
      <c r="B133" s="46" t="inlineStr">
        <is>
          <t>SEC-12</t>
        </is>
      </c>
      <c r="C133" s="46" t="inlineStr">
        <is>
          <t>NFR Basis</t>
        </is>
      </c>
      <c r="D133" s="46" t="inlineStr">
        <is>
          <t>12.1.2</t>
        </is>
      </c>
      <c r="E133" s="46" t="n">
        <v>3</v>
      </c>
      <c r="F133" s="46" t="inlineStr">
        <is>
          <t>Nano</t>
        </is>
      </c>
      <c r="G133" s="47" t="inlineStr">
        <is>
          <t>Volume basis</t>
        </is>
      </c>
      <c r="H133" s="46" t="inlineStr">
        <is>
          <t>The volume the target was worked out from.</t>
        </is>
      </c>
      <c r="I133" s="46" t="inlineStr">
        <is>
          <t>text</t>
        </is>
      </c>
      <c r="J133" s="46" t="inlineStr">
        <is>
          <t>atomic</t>
        </is>
      </c>
      <c r="K133" s="46" t="inlineStr">
        <is>
          <t>conditional</t>
        </is>
      </c>
      <c r="L133" s="46" t="inlineStr">
        <is>
          <t>required when derived from Volumes</t>
        </is>
      </c>
      <c r="M133" s="46" t="inlineStr">
        <is>
          <t>1M candidates from the brief</t>
        </is>
      </c>
      <c r="N133" s="46" t="inlineStr">
        <is>
          <t>nfr</t>
        </is>
      </c>
      <c r="O133" s="46" t="inlineStr">
        <is>
          <t>volume_basis</t>
        </is>
      </c>
    </row>
    <row r="134">
      <c r="A134" s="44" t="inlineStr">
        <is>
          <t>Step 04</t>
        </is>
      </c>
      <c r="B134" s="44" t="inlineStr">
        <is>
          <t>SEC-12</t>
        </is>
      </c>
      <c r="C134" s="44" t="inlineStr">
        <is>
          <t>NFR Basis</t>
        </is>
      </c>
      <c r="D134" s="44" t="inlineStr">
        <is>
          <t>12.2</t>
        </is>
      </c>
      <c r="E134" s="44" t="n">
        <v>2</v>
      </c>
      <c r="F134" s="44" t="inlineStr">
        <is>
          <t>Micro</t>
        </is>
      </c>
      <c r="G134" s="45" t="inlineStr">
        <is>
          <t>Regulation</t>
        </is>
      </c>
      <c r="H134" s="44" t="inlineStr">
        <is>
          <t>The law or standard that applies.</t>
        </is>
      </c>
      <c r="I134" s="44" t="n"/>
      <c r="J134" s="44" t="n"/>
      <c r="K134" s="44" t="n"/>
      <c r="L134" s="44" t="n"/>
      <c r="M134" s="44" t="n"/>
      <c r="N134" s="44" t="inlineStr">
        <is>
          <t>nfr</t>
        </is>
      </c>
      <c r="O134" s="44" t="inlineStr">
        <is>
          <t>(1 columns)</t>
        </is>
      </c>
    </row>
    <row r="135">
      <c r="A135" s="46" t="inlineStr">
        <is>
          <t>Step 04</t>
        </is>
      </c>
      <c r="B135" s="46" t="inlineStr">
        <is>
          <t>SEC-12</t>
        </is>
      </c>
      <c r="C135" s="46" t="inlineStr">
        <is>
          <t>NFR Basis</t>
        </is>
      </c>
      <c r="D135" s="46" t="inlineStr">
        <is>
          <t>12.2.1</t>
        </is>
      </c>
      <c r="E135" s="46" t="n">
        <v>3</v>
      </c>
      <c r="F135" s="46" t="inlineStr">
        <is>
          <t>Nano</t>
        </is>
      </c>
      <c r="G135" s="47" t="inlineStr">
        <is>
          <t>Regulation</t>
        </is>
      </c>
      <c r="H135" s="46" t="inlineStr">
        <is>
          <t>The regulation named, such as the DPDP Act 2023.</t>
        </is>
      </c>
      <c r="I135" s="46" t="inlineStr">
        <is>
          <t>text</t>
        </is>
      </c>
      <c r="J135" s="46" t="inlineStr">
        <is>
          <t>atomic</t>
        </is>
      </c>
      <c r="K135" s="46" t="inlineStr">
        <is>
          <t>conditional</t>
        </is>
      </c>
      <c r="L135" s="46" t="inlineStr">
        <is>
          <t>required when derived from Regulation</t>
        </is>
      </c>
      <c r="M135" s="46" t="inlineStr">
        <is>
          <t>DPDP Act 2023</t>
        </is>
      </c>
      <c r="N135" s="46" t="inlineStr">
        <is>
          <t>nfr</t>
        </is>
      </c>
      <c r="O135" s="46" t="inlineStr">
        <is>
          <t>regulation_name</t>
        </is>
      </c>
    </row>
    <row r="136">
      <c r="A136" s="43" t="inlineStr">
        <is>
          <t>Step 04</t>
        </is>
      </c>
      <c r="B136" s="43" t="inlineStr">
        <is>
          <t>SEC-13</t>
        </is>
      </c>
      <c r="C136" s="43" t="inlineStr">
        <is>
          <t>NFR Status</t>
        </is>
      </c>
      <c r="D136" s="43" t="inlineStr">
        <is>
          <t>13</t>
        </is>
      </c>
      <c r="E136" s="43" t="n">
        <v>1</v>
      </c>
      <c r="F136" s="43" t="inlineStr">
        <is>
          <t>Macro</t>
        </is>
      </c>
      <c r="G136" s="43" t="inlineStr">
        <is>
          <t>NFR Status</t>
        </is>
      </c>
      <c r="H136" s="43" t="inlineStr">
        <is>
          <t>Where the design stands against the target.</t>
        </is>
      </c>
      <c r="I136" s="43" t="n"/>
      <c r="J136" s="43" t="n"/>
      <c r="K136" s="43" t="n"/>
      <c r="L136" s="43" t="n"/>
      <c r="M136" s="43" t="n"/>
      <c r="N136" s="43" t="inlineStr">
        <is>
          <t>nfr</t>
        </is>
      </c>
      <c r="O136" s="43" t="n"/>
    </row>
    <row r="137">
      <c r="A137" s="44" t="inlineStr">
        <is>
          <t>Step 04</t>
        </is>
      </c>
      <c r="B137" s="44" t="inlineStr">
        <is>
          <t>SEC-13</t>
        </is>
      </c>
      <c r="C137" s="44" t="inlineStr">
        <is>
          <t>NFR Status</t>
        </is>
      </c>
      <c r="D137" s="44" t="inlineStr">
        <is>
          <t>13.1</t>
        </is>
      </c>
      <c r="E137" s="44" t="n">
        <v>2</v>
      </c>
      <c r="F137" s="44" t="inlineStr">
        <is>
          <t>Micro</t>
        </is>
      </c>
      <c r="G137" s="45" t="inlineStr">
        <is>
          <t>Status</t>
        </is>
      </c>
      <c r="H137" s="44" t="inlineStr">
        <is>
          <t>Built, planned or partly met.</t>
        </is>
      </c>
      <c r="I137" s="44" t="n"/>
      <c r="J137" s="44" t="n"/>
      <c r="K137" s="44" t="n"/>
      <c r="L137" s="44" t="n"/>
      <c r="M137" s="44" t="n"/>
      <c r="N137" s="44" t="inlineStr">
        <is>
          <t>nfr</t>
        </is>
      </c>
      <c r="O137" s="44" t="inlineStr">
        <is>
          <t>(2 columns)</t>
        </is>
      </c>
    </row>
    <row r="138">
      <c r="A138" s="46" t="inlineStr">
        <is>
          <t>Step 04</t>
        </is>
      </c>
      <c r="B138" s="46" t="inlineStr">
        <is>
          <t>SEC-13</t>
        </is>
      </c>
      <c r="C138" s="46" t="inlineStr">
        <is>
          <t>NFR Status</t>
        </is>
      </c>
      <c r="D138" s="46" t="inlineStr">
        <is>
          <t>13.1.1</t>
        </is>
      </c>
      <c r="E138" s="46" t="n">
        <v>3</v>
      </c>
      <c r="F138" s="46" t="inlineStr">
        <is>
          <t>Nano</t>
        </is>
      </c>
      <c r="G138" s="47" t="inlineStr">
        <is>
          <t>Our status</t>
        </is>
      </c>
      <c r="H138" s="46" t="inlineStr">
        <is>
          <t>Where the NFR stands today.</t>
        </is>
      </c>
      <c r="I138" s="46" t="inlineStr">
        <is>
          <t>enum</t>
        </is>
      </c>
      <c r="J138" s="46" t="inlineStr">
        <is>
          <t>atomic</t>
        </is>
      </c>
      <c r="K138" s="46" t="inlineStr">
        <is>
          <t>required</t>
        </is>
      </c>
      <c r="L138" s="46" t="inlineStr">
        <is>
          <t>list: NfrStatus</t>
        </is>
      </c>
      <c r="M138" s="46" t="inlineStr">
        <is>
          <t>Built and tested</t>
        </is>
      </c>
      <c r="N138" s="46" t="inlineStr">
        <is>
          <t>nfr</t>
        </is>
      </c>
      <c r="O138" s="46" t="inlineStr">
        <is>
          <t>our_status</t>
        </is>
      </c>
    </row>
    <row r="139">
      <c r="A139" s="46" t="inlineStr">
        <is>
          <t>Step 04</t>
        </is>
      </c>
      <c r="B139" s="46" t="inlineStr">
        <is>
          <t>SEC-13</t>
        </is>
      </c>
      <c r="C139" s="46" t="inlineStr">
        <is>
          <t>NFR Status</t>
        </is>
      </c>
      <c r="D139" s="46" t="inlineStr">
        <is>
          <t>13.1.2</t>
        </is>
      </c>
      <c r="E139" s="46" t="n">
        <v>3</v>
      </c>
      <c r="F139" s="46" t="inlineStr">
        <is>
          <t>Nano</t>
        </is>
      </c>
      <c r="G139" s="47" t="inlineStr">
        <is>
          <t>Status detail</t>
        </is>
      </c>
      <c r="H139" s="46" t="inlineStr">
        <is>
          <t>The fuller sentence behind the status.</t>
        </is>
      </c>
      <c r="I139" s="46" t="inlineStr">
        <is>
          <t>text</t>
        </is>
      </c>
      <c r="J139" s="46" t="inlineStr">
        <is>
          <t>atomic</t>
        </is>
      </c>
      <c r="K139" s="46" t="inlineStr">
        <is>
          <t>optional</t>
        </is>
      </c>
      <c r="L139" s="46" t="inlineStr">
        <is>
          <t>0 to 400 characters</t>
        </is>
      </c>
      <c r="M139" s="46" t="inlineStr">
        <is>
          <t>Proven to 50,000 candidates so far</t>
        </is>
      </c>
      <c r="N139" s="46" t="inlineStr">
        <is>
          <t>nfr</t>
        </is>
      </c>
      <c r="O139" s="46" t="inlineStr">
        <is>
          <t>status_detail</t>
        </is>
      </c>
    </row>
    <row r="140">
      <c r="A140" s="43" t="inlineStr">
        <is>
          <t>Step 01</t>
        </is>
      </c>
      <c r="B140" s="43" t="inlineStr">
        <is>
          <t>SEC-14</t>
        </is>
      </c>
      <c r="C140" s="43" t="inlineStr">
        <is>
          <t>Requirement Identity</t>
        </is>
      </c>
      <c r="D140" s="43" t="inlineStr">
        <is>
          <t>14</t>
        </is>
      </c>
      <c r="E140" s="43" t="n">
        <v>1</v>
      </c>
      <c r="F140" s="43" t="inlineStr">
        <is>
          <t>Macro</t>
        </is>
      </c>
      <c r="G140" s="43" t="inlineStr">
        <is>
          <t>Requirement Identity</t>
        </is>
      </c>
      <c r="H140" s="43" t="inlineStr">
        <is>
          <t>Which requirement it is and what it says.</t>
        </is>
      </c>
      <c r="I140" s="43" t="n"/>
      <c r="J140" s="43" t="n"/>
      <c r="K140" s="43" t="n"/>
      <c r="L140" s="43" t="n"/>
      <c r="M140" s="43" t="n"/>
      <c r="N140" s="43" t="inlineStr">
        <is>
          <t>requirement</t>
        </is>
      </c>
      <c r="O140" s="43" t="n"/>
    </row>
    <row r="141">
      <c r="A141" s="44" t="inlineStr">
        <is>
          <t>Step 01</t>
        </is>
      </c>
      <c r="B141" s="44" t="inlineStr">
        <is>
          <t>SEC-14</t>
        </is>
      </c>
      <c r="C141" s="44" t="inlineStr">
        <is>
          <t>Requirement Identity</t>
        </is>
      </c>
      <c r="D141" s="44" t="inlineStr">
        <is>
          <t>14.1</t>
        </is>
      </c>
      <c r="E141" s="44" t="n">
        <v>2</v>
      </c>
      <c r="F141" s="44" t="inlineStr">
        <is>
          <t>Micro</t>
        </is>
      </c>
      <c r="G141" s="45" t="inlineStr">
        <is>
          <t>Requirement identity</t>
        </is>
      </c>
      <c r="H141" s="44" t="inlineStr">
        <is>
          <t>The requirement's code, its module and its words.</t>
        </is>
      </c>
      <c r="I141" s="44" t="n"/>
      <c r="J141" s="44" t="n"/>
      <c r="K141" s="44" t="n"/>
      <c r="L141" s="44" t="n"/>
      <c r="M141" s="44" t="n"/>
      <c r="N141" s="44" t="inlineStr">
        <is>
          <t>requirement</t>
        </is>
      </c>
      <c r="O141" s="44" t="inlineStr">
        <is>
          <t>(3 columns)</t>
        </is>
      </c>
    </row>
    <row r="142">
      <c r="A142" s="46" t="inlineStr">
        <is>
          <t>Step 01</t>
        </is>
      </c>
      <c r="B142" s="46" t="inlineStr">
        <is>
          <t>SEC-14</t>
        </is>
      </c>
      <c r="C142" s="46" t="inlineStr">
        <is>
          <t>Requirement Identity</t>
        </is>
      </c>
      <c r="D142" s="46" t="inlineStr">
        <is>
          <t>14.1.1</t>
        </is>
      </c>
      <c r="E142" s="46" t="n">
        <v>3</v>
      </c>
      <c r="F142" s="46" t="inlineStr">
        <is>
          <t>Nano</t>
        </is>
      </c>
      <c r="G142" s="47" t="inlineStr">
        <is>
          <t>Requirement id</t>
        </is>
      </c>
      <c r="H142" s="46" t="inlineStr">
        <is>
          <t>One fixed code for the requirement.</t>
        </is>
      </c>
      <c r="I142" s="46" t="inlineStr">
        <is>
          <t>id</t>
        </is>
      </c>
      <c r="J142" s="46" t="inlineStr">
        <is>
          <t>atomic</t>
        </is>
      </c>
      <c r="K142" s="46" t="inlineStr">
        <is>
          <t>required</t>
        </is>
      </c>
      <c r="L142" s="46" t="inlineStr">
        <is>
          <t>unique, pattern FR-xnn</t>
        </is>
      </c>
      <c r="M142" s="46" t="inlineStr">
        <is>
          <t>FR-P01</t>
        </is>
      </c>
      <c r="N142" s="46" t="inlineStr">
        <is>
          <t>requirement</t>
        </is>
      </c>
      <c r="O142" s="46" t="inlineStr">
        <is>
          <t>requirement_id</t>
        </is>
      </c>
    </row>
    <row r="143">
      <c r="A143" s="46" t="inlineStr">
        <is>
          <t>Step 01</t>
        </is>
      </c>
      <c r="B143" s="46" t="inlineStr">
        <is>
          <t>SEC-14</t>
        </is>
      </c>
      <c r="C143" s="46" t="inlineStr">
        <is>
          <t>Requirement Identity</t>
        </is>
      </c>
      <c r="D143" s="46" t="inlineStr">
        <is>
          <t>14.1.2</t>
        </is>
      </c>
      <c r="E143" s="46" t="n">
        <v>3</v>
      </c>
      <c r="F143" s="46" t="inlineStr">
        <is>
          <t>Nano</t>
        </is>
      </c>
      <c r="G143" s="47" t="inlineStr">
        <is>
          <t>Module</t>
        </is>
      </c>
      <c r="H143" s="46" t="inlineStr">
        <is>
          <t>The area of the product it belongs to.</t>
        </is>
      </c>
      <c r="I143" s="46" t="inlineStr">
        <is>
          <t>text</t>
        </is>
      </c>
      <c r="J143" s="46" t="inlineStr">
        <is>
          <t>atomic</t>
        </is>
      </c>
      <c r="K143" s="46" t="inlineStr">
        <is>
          <t>required</t>
        </is>
      </c>
      <c r="L143" s="46" t="inlineStr">
        <is>
          <t>1 to 60 characters</t>
        </is>
      </c>
      <c r="M143" s="46" t="inlineStr">
        <is>
          <t>Profile</t>
        </is>
      </c>
      <c r="N143" s="46" t="inlineStr">
        <is>
          <t>requirement</t>
        </is>
      </c>
      <c r="O143" s="46" t="inlineStr">
        <is>
          <t>module</t>
        </is>
      </c>
    </row>
    <row r="144">
      <c r="A144" s="46" t="inlineStr">
        <is>
          <t>Step 01</t>
        </is>
      </c>
      <c r="B144" s="46" t="inlineStr">
        <is>
          <t>SEC-14</t>
        </is>
      </c>
      <c r="C144" s="46" t="inlineStr">
        <is>
          <t>Requirement Identity</t>
        </is>
      </c>
      <c r="D144" s="46" t="inlineStr">
        <is>
          <t>14.1.3</t>
        </is>
      </c>
      <c r="E144" s="46" t="n">
        <v>3</v>
      </c>
      <c r="F144" s="46" t="inlineStr">
        <is>
          <t>Nano</t>
        </is>
      </c>
      <c r="G144" s="47" t="inlineStr">
        <is>
          <t>Requirement statement</t>
        </is>
      </c>
      <c r="H144" s="46" t="inlineStr">
        <is>
          <t>The requirement in one or two plain sentences.</t>
        </is>
      </c>
      <c r="I144" s="46" t="inlineStr">
        <is>
          <t>text</t>
        </is>
      </c>
      <c r="J144" s="46" t="inlineStr">
        <is>
          <t>atomic</t>
        </is>
      </c>
      <c r="K144" s="46" t="inlineStr">
        <is>
          <t>required</t>
        </is>
      </c>
      <c r="L144" s="46" t="inlineStr">
        <is>
          <t>1 to 500 characters</t>
        </is>
      </c>
      <c r="M144" s="46" t="inlineStr">
        <is>
          <t>Each user account has at most one candidate profile</t>
        </is>
      </c>
      <c r="N144" s="46" t="inlineStr">
        <is>
          <t>requirement</t>
        </is>
      </c>
      <c r="O144" s="46" t="inlineStr">
        <is>
          <t>requirement_statement</t>
        </is>
      </c>
    </row>
    <row r="145">
      <c r="A145" s="43" t="inlineStr">
        <is>
          <t>Step 01</t>
        </is>
      </c>
      <c r="B145" s="43" t="inlineStr">
        <is>
          <t>SEC-15</t>
        </is>
      </c>
      <c r="C145" s="43" t="inlineStr">
        <is>
          <t>Requirement Origin</t>
        </is>
      </c>
      <c r="D145" s="43" t="inlineStr">
        <is>
          <t>15</t>
        </is>
      </c>
      <c r="E145" s="43" t="n">
        <v>1</v>
      </c>
      <c r="F145" s="43" t="inlineStr">
        <is>
          <t>Macro</t>
        </is>
      </c>
      <c r="G145" s="43" t="inlineStr">
        <is>
          <t>Requirement Origin</t>
        </is>
      </c>
      <c r="H145" s="43" t="inlineStr">
        <is>
          <t>Where the requirement came from and who it is for.</t>
        </is>
      </c>
      <c r="I145" s="43" t="n"/>
      <c r="J145" s="43" t="n"/>
      <c r="K145" s="43" t="n"/>
      <c r="L145" s="43" t="n"/>
      <c r="M145" s="43" t="n"/>
      <c r="N145" s="43" t="inlineStr">
        <is>
          <t>requirement</t>
        </is>
      </c>
      <c r="O145" s="43" t="n"/>
    </row>
    <row r="146">
      <c r="A146" s="44" t="inlineStr">
        <is>
          <t>Step 01</t>
        </is>
      </c>
      <c r="B146" s="44" t="inlineStr">
        <is>
          <t>SEC-15</t>
        </is>
      </c>
      <c r="C146" s="44" t="inlineStr">
        <is>
          <t>Requirement Origin</t>
        </is>
      </c>
      <c r="D146" s="44" t="inlineStr">
        <is>
          <t>15.1</t>
        </is>
      </c>
      <c r="E146" s="44" t="n">
        <v>2</v>
      </c>
      <c r="F146" s="44" t="inlineStr">
        <is>
          <t>Micro</t>
        </is>
      </c>
      <c r="G146" s="45" t="inlineStr">
        <is>
          <t>Source</t>
        </is>
      </c>
      <c r="H146" s="44" t="inlineStr">
        <is>
          <t>Which part of the brief or which decision it comes from.</t>
        </is>
      </c>
      <c r="I146" s="44" t="n"/>
      <c r="J146" s="44" t="n"/>
      <c r="K146" s="44" t="n"/>
      <c r="L146" s="44" t="n"/>
      <c r="M146" s="44" t="n"/>
      <c r="N146" s="44" t="inlineStr">
        <is>
          <t>requirement</t>
        </is>
      </c>
      <c r="O146" s="44" t="inlineStr">
        <is>
          <t>(2 columns)</t>
        </is>
      </c>
    </row>
    <row r="147">
      <c r="A147" s="46" t="inlineStr">
        <is>
          <t>Step 01</t>
        </is>
      </c>
      <c r="B147" s="46" t="inlineStr">
        <is>
          <t>SEC-15</t>
        </is>
      </c>
      <c r="C147" s="46" t="inlineStr">
        <is>
          <t>Requirement Origin</t>
        </is>
      </c>
      <c r="D147" s="46" t="inlineStr">
        <is>
          <t>15.1.1</t>
        </is>
      </c>
      <c r="E147" s="46" t="n">
        <v>3</v>
      </c>
      <c r="F147" s="46" t="inlineStr">
        <is>
          <t>Nano</t>
        </is>
      </c>
      <c r="G147" s="47" t="inlineStr">
        <is>
          <t>Source type</t>
        </is>
      </c>
      <c r="H147" s="46" t="inlineStr">
        <is>
          <t>What kind of source names it.</t>
        </is>
      </c>
      <c r="I147" s="46" t="inlineStr">
        <is>
          <t>enum</t>
        </is>
      </c>
      <c r="J147" s="46" t="inlineStr">
        <is>
          <t>atomic</t>
        </is>
      </c>
      <c r="K147" s="46" t="inlineStr">
        <is>
          <t>required</t>
        </is>
      </c>
      <c r="L147" s="46" t="inlineStr">
        <is>
          <t>list: ReqSource</t>
        </is>
      </c>
      <c r="M147" s="46" t="inlineStr">
        <is>
          <t>Brief sentence</t>
        </is>
      </c>
      <c r="N147" s="46" t="inlineStr">
        <is>
          <t>requirement</t>
        </is>
      </c>
      <c r="O147" s="46" t="inlineStr">
        <is>
          <t>source_type</t>
        </is>
      </c>
    </row>
    <row r="148">
      <c r="A148" s="46" t="inlineStr">
        <is>
          <t>Step 01</t>
        </is>
      </c>
      <c r="B148" s="46" t="inlineStr">
        <is>
          <t>SEC-15</t>
        </is>
      </c>
      <c r="C148" s="46" t="inlineStr">
        <is>
          <t>Requirement Origin</t>
        </is>
      </c>
      <c r="D148" s="46" t="inlineStr">
        <is>
          <t>15.1.2</t>
        </is>
      </c>
      <c r="E148" s="46" t="n">
        <v>3</v>
      </c>
      <c r="F148" s="46" t="inlineStr">
        <is>
          <t>Nano</t>
        </is>
      </c>
      <c r="G148" s="47" t="inlineStr">
        <is>
          <t>Source reference</t>
        </is>
      </c>
      <c r="H148" s="46" t="inlineStr">
        <is>
          <t>The sentence, question or decision itself.</t>
        </is>
      </c>
      <c r="I148" s="46" t="inlineStr">
        <is>
          <t>text</t>
        </is>
      </c>
      <c r="J148" s="46" t="inlineStr">
        <is>
          <t>atomic</t>
        </is>
      </c>
      <c r="K148" s="46" t="inlineStr">
        <is>
          <t>conditional</t>
        </is>
      </c>
      <c r="L148" s="46" t="inlineStr">
        <is>
          <t>required unless the source type is Not recorded</t>
        </is>
      </c>
      <c r="M148" s="46" t="inlineStr">
        <is>
          <t>Brief, sentence 4</t>
        </is>
      </c>
      <c r="N148" s="46" t="inlineStr">
        <is>
          <t>requirement</t>
        </is>
      </c>
      <c r="O148" s="46" t="inlineStr">
        <is>
          <t>source_reference</t>
        </is>
      </c>
    </row>
    <row r="149">
      <c r="A149" s="44" t="inlineStr">
        <is>
          <t>Step 01</t>
        </is>
      </c>
      <c r="B149" s="44" t="inlineStr">
        <is>
          <t>SEC-15</t>
        </is>
      </c>
      <c r="C149" s="44" t="inlineStr">
        <is>
          <t>Requirement Origin</t>
        </is>
      </c>
      <c r="D149" s="44" t="inlineStr">
        <is>
          <t>15.2</t>
        </is>
      </c>
      <c r="E149" s="44" t="n">
        <v>2</v>
      </c>
      <c r="F149" s="44" t="inlineStr">
        <is>
          <t>Micro</t>
        </is>
      </c>
      <c r="G149" s="45" t="inlineStr">
        <is>
          <t>Actor</t>
        </is>
      </c>
      <c r="H149" s="44" t="inlineStr">
        <is>
          <t>Who the requirement is for. The exit gate needs at least one.</t>
        </is>
      </c>
      <c r="I149" s="44" t="n"/>
      <c r="J149" s="44" t="n"/>
      <c r="K149" s="44" t="n"/>
      <c r="L149" s="44" t="n"/>
      <c r="M149" s="44" t="n"/>
      <c r="N149" s="44" t="inlineStr">
        <is>
          <t>requirement</t>
        </is>
      </c>
      <c r="O149" s="44" t="inlineStr">
        <is>
          <t>(1 columns)</t>
        </is>
      </c>
    </row>
    <row r="150">
      <c r="A150" s="46" t="inlineStr">
        <is>
          <t>Step 01</t>
        </is>
      </c>
      <c r="B150" s="46" t="inlineStr">
        <is>
          <t>SEC-15</t>
        </is>
      </c>
      <c r="C150" s="46" t="inlineStr">
        <is>
          <t>Requirement Origin</t>
        </is>
      </c>
      <c r="D150" s="46" t="inlineStr">
        <is>
          <t>15.2.1</t>
        </is>
      </c>
      <c r="E150" s="46" t="n">
        <v>3</v>
      </c>
      <c r="F150" s="46" t="inlineStr">
        <is>
          <t>Nano</t>
        </is>
      </c>
      <c r="G150" s="47" t="inlineStr">
        <is>
          <t>Actor</t>
        </is>
      </c>
      <c r="H150" s="46" t="inlineStr">
        <is>
          <t>The main person or system the requirement serves.</t>
        </is>
      </c>
      <c r="I150" s="46" t="inlineStr">
        <is>
          <t>enum</t>
        </is>
      </c>
      <c r="J150" s="46" t="inlineStr">
        <is>
          <t>atomic</t>
        </is>
      </c>
      <c r="K150" s="46" t="inlineStr">
        <is>
          <t>required</t>
        </is>
      </c>
      <c r="L150" s="46" t="inlineStr">
        <is>
          <t>list: Persona</t>
        </is>
      </c>
      <c r="M150" s="46" t="inlineStr">
        <is>
          <t>Candidate</t>
        </is>
      </c>
      <c r="N150" s="46" t="inlineStr">
        <is>
          <t>requirement</t>
        </is>
      </c>
      <c r="O150" s="46" t="inlineStr">
        <is>
          <t>actor</t>
        </is>
      </c>
    </row>
    <row r="151">
      <c r="A151" s="43" t="inlineStr">
        <is>
          <t>Step 01</t>
        </is>
      </c>
      <c r="B151" s="43" t="inlineStr">
        <is>
          <t>SEC-16</t>
        </is>
      </c>
      <c r="C151" s="43" t="inlineStr">
        <is>
          <t>Priority and Clarity</t>
        </is>
      </c>
      <c r="D151" s="43" t="inlineStr">
        <is>
          <t>16</t>
        </is>
      </c>
      <c r="E151" s="43" t="n">
        <v>1</v>
      </c>
      <c r="F151" s="43" t="inlineStr">
        <is>
          <t>Macro</t>
        </is>
      </c>
      <c r="G151" s="43" t="inlineStr">
        <is>
          <t>Priority and Clarity</t>
        </is>
      </c>
      <c r="H151" s="43" t="inlineStr">
        <is>
          <t>How important it is and what is still unclear.</t>
        </is>
      </c>
      <c r="I151" s="43" t="n"/>
      <c r="J151" s="43" t="n"/>
      <c r="K151" s="43" t="n"/>
      <c r="L151" s="43" t="n"/>
      <c r="M151" s="43" t="n"/>
      <c r="N151" s="43" t="inlineStr">
        <is>
          <t>requirement</t>
        </is>
      </c>
      <c r="O151" s="43" t="n"/>
    </row>
    <row r="152">
      <c r="A152" s="44" t="inlineStr">
        <is>
          <t>Step 01</t>
        </is>
      </c>
      <c r="B152" s="44" t="inlineStr">
        <is>
          <t>SEC-16</t>
        </is>
      </c>
      <c r="C152" s="44" t="inlineStr">
        <is>
          <t>Priority and Clarity</t>
        </is>
      </c>
      <c r="D152" s="44" t="inlineStr">
        <is>
          <t>16.1</t>
        </is>
      </c>
      <c r="E152" s="44" t="n">
        <v>2</v>
      </c>
      <c r="F152" s="44" t="inlineStr">
        <is>
          <t>Micro</t>
        </is>
      </c>
      <c r="G152" s="45" t="inlineStr">
        <is>
          <t>Priority</t>
        </is>
      </c>
      <c r="H152" s="44" t="inlineStr">
        <is>
          <t>Must-have, should-have or differentiator, and why.</t>
        </is>
      </c>
      <c r="I152" s="44" t="n"/>
      <c r="J152" s="44" t="n"/>
      <c r="K152" s="44" t="n"/>
      <c r="L152" s="44" t="n"/>
      <c r="M152" s="44" t="n"/>
      <c r="N152" s="44" t="inlineStr">
        <is>
          <t>requirement</t>
        </is>
      </c>
      <c r="O152" s="44" t="inlineStr">
        <is>
          <t>(2 columns)</t>
        </is>
      </c>
    </row>
    <row r="153">
      <c r="A153" s="46" t="inlineStr">
        <is>
          <t>Step 01</t>
        </is>
      </c>
      <c r="B153" s="46" t="inlineStr">
        <is>
          <t>SEC-16</t>
        </is>
      </c>
      <c r="C153" s="46" t="inlineStr">
        <is>
          <t>Priority and Clarity</t>
        </is>
      </c>
      <c r="D153" s="46" t="inlineStr">
        <is>
          <t>16.1.1</t>
        </is>
      </c>
      <c r="E153" s="46" t="n">
        <v>3</v>
      </c>
      <c r="F153" s="46" t="inlineStr">
        <is>
          <t>Nano</t>
        </is>
      </c>
      <c r="G153" s="47" t="inlineStr">
        <is>
          <t>Priority</t>
        </is>
      </c>
      <c r="H153" s="46" t="inlineStr">
        <is>
          <t>The class of the requirement.</t>
        </is>
      </c>
      <c r="I153" s="46" t="inlineStr">
        <is>
          <t>enum</t>
        </is>
      </c>
      <c r="J153" s="46" t="inlineStr">
        <is>
          <t>atomic</t>
        </is>
      </c>
      <c r="K153" s="46" t="inlineStr">
        <is>
          <t>required</t>
        </is>
      </c>
      <c r="L153" s="46" t="inlineStr">
        <is>
          <t>list: Class</t>
        </is>
      </c>
      <c r="M153" s="46" t="inlineStr">
        <is>
          <t>MUST-HAVE</t>
        </is>
      </c>
      <c r="N153" s="46" t="inlineStr">
        <is>
          <t>requirement</t>
        </is>
      </c>
      <c r="O153" s="46" t="inlineStr">
        <is>
          <t>priority</t>
        </is>
      </c>
    </row>
    <row r="154">
      <c r="A154" s="46" t="inlineStr">
        <is>
          <t>Step 01</t>
        </is>
      </c>
      <c r="B154" s="46" t="inlineStr">
        <is>
          <t>SEC-16</t>
        </is>
      </c>
      <c r="C154" s="46" t="inlineStr">
        <is>
          <t>Priority and Clarity</t>
        </is>
      </c>
      <c r="D154" s="46" t="inlineStr">
        <is>
          <t>16.1.2</t>
        </is>
      </c>
      <c r="E154" s="46" t="n">
        <v>3</v>
      </c>
      <c r="F154" s="46" t="inlineStr">
        <is>
          <t>Nano</t>
        </is>
      </c>
      <c r="G154" s="47" t="inlineStr">
        <is>
          <t>Priority basis</t>
        </is>
      </c>
      <c r="H154" s="46" t="inlineStr">
        <is>
          <t>Whether the team set it or it was worked out.</t>
        </is>
      </c>
      <c r="I154" s="46" t="inlineStr">
        <is>
          <t>enum</t>
        </is>
      </c>
      <c r="J154" s="46" t="inlineStr">
        <is>
          <t>atomic</t>
        </is>
      </c>
      <c r="K154" s="46" t="inlineStr">
        <is>
          <t>required</t>
        </is>
      </c>
      <c r="L154" s="46" t="inlineStr">
        <is>
          <t>list: PriorityBasis</t>
        </is>
      </c>
      <c r="M154" s="46" t="inlineStr">
        <is>
          <t>Derived from features</t>
        </is>
      </c>
      <c r="N154" s="46" t="inlineStr">
        <is>
          <t>requirement</t>
        </is>
      </c>
      <c r="O154" s="46" t="inlineStr">
        <is>
          <t>priority_basis</t>
        </is>
      </c>
    </row>
    <row r="155">
      <c r="A155" s="44" t="inlineStr">
        <is>
          <t>Step 01</t>
        </is>
      </c>
      <c r="B155" s="44" t="inlineStr">
        <is>
          <t>SEC-16</t>
        </is>
      </c>
      <c r="C155" s="44" t="inlineStr">
        <is>
          <t>Priority and Clarity</t>
        </is>
      </c>
      <c r="D155" s="44" t="inlineStr">
        <is>
          <t>16.2</t>
        </is>
      </c>
      <c r="E155" s="44" t="n">
        <v>2</v>
      </c>
      <c r="F155" s="44" t="inlineStr">
        <is>
          <t>Micro</t>
        </is>
      </c>
      <c r="G155" s="45" t="inlineStr">
        <is>
          <t>Ambiguity</t>
        </is>
      </c>
      <c r="H155" s="44" t="inlineStr">
        <is>
          <t>What is vague or still open.</t>
        </is>
      </c>
      <c r="I155" s="44" t="n"/>
      <c r="J155" s="44" t="n"/>
      <c r="K155" s="44" t="n"/>
      <c r="L155" s="44" t="n"/>
      <c r="M155" s="44" t="n"/>
      <c r="N155" s="44" t="inlineStr">
        <is>
          <t>requirement</t>
        </is>
      </c>
      <c r="O155" s="44" t="inlineStr">
        <is>
          <t>(1 columns)</t>
        </is>
      </c>
    </row>
    <row r="156">
      <c r="A156" s="46" t="inlineStr">
        <is>
          <t>Step 01</t>
        </is>
      </c>
      <c r="B156" s="46" t="inlineStr">
        <is>
          <t>SEC-16</t>
        </is>
      </c>
      <c r="C156" s="46" t="inlineStr">
        <is>
          <t>Priority and Clarity</t>
        </is>
      </c>
      <c r="D156" s="46" t="inlineStr">
        <is>
          <t>16.2.1</t>
        </is>
      </c>
      <c r="E156" s="46" t="n">
        <v>3</v>
      </c>
      <c r="F156" s="46" t="inlineStr">
        <is>
          <t>Nano</t>
        </is>
      </c>
      <c r="G156" s="47" t="inlineStr">
        <is>
          <t>Ambiguity note</t>
        </is>
      </c>
      <c r="H156" s="46" t="inlineStr">
        <is>
          <t>Any vague word or open question, ideally turned into a number.</t>
        </is>
      </c>
      <c r="I156" s="46" t="inlineStr">
        <is>
          <t>text</t>
        </is>
      </c>
      <c r="J156" s="46" t="inlineStr">
        <is>
          <t>atomic</t>
        </is>
      </c>
      <c r="K156" s="46" t="inlineStr">
        <is>
          <t>optional</t>
        </is>
      </c>
      <c r="L156" s="46" t="inlineStr">
        <is>
          <t>0 to 400 characters</t>
        </is>
      </c>
      <c r="M156" s="46" t="inlineStr">
        <is>
          <t>'many' to be set to a number</t>
        </is>
      </c>
      <c r="N156" s="46" t="inlineStr">
        <is>
          <t>requirement</t>
        </is>
      </c>
      <c r="O156" s="46" t="inlineStr">
        <is>
          <t>ambiguity_note</t>
        </is>
      </c>
    </row>
    <row r="157">
      <c r="A157" s="43" t="inlineStr">
        <is>
          <t>Step 01</t>
        </is>
      </c>
      <c r="B157" s="43" t="inlineStr">
        <is>
          <t>SEC-17</t>
        </is>
      </c>
      <c r="C157" s="43" t="inlineStr">
        <is>
          <t>Requirement Status</t>
        </is>
      </c>
      <c r="D157" s="43" t="inlineStr">
        <is>
          <t>17</t>
        </is>
      </c>
      <c r="E157" s="43" t="n">
        <v>1</v>
      </c>
      <c r="F157" s="43" t="inlineStr">
        <is>
          <t>Macro</t>
        </is>
      </c>
      <c r="G157" s="43" t="inlineStr">
        <is>
          <t>Requirement Status</t>
        </is>
      </c>
      <c r="H157" s="43" t="inlineStr">
        <is>
          <t>Where the design stands against the requirement.</t>
        </is>
      </c>
      <c r="I157" s="43" t="n"/>
      <c r="J157" s="43" t="n"/>
      <c r="K157" s="43" t="n"/>
      <c r="L157" s="43" t="n"/>
      <c r="M157" s="43" t="n"/>
      <c r="N157" s="43" t="inlineStr">
        <is>
          <t>requirement</t>
        </is>
      </c>
      <c r="O157" s="43" t="n"/>
    </row>
    <row r="158">
      <c r="A158" s="44" t="inlineStr">
        <is>
          <t>Step 01</t>
        </is>
      </c>
      <c r="B158" s="44" t="inlineStr">
        <is>
          <t>SEC-17</t>
        </is>
      </c>
      <c r="C158" s="44" t="inlineStr">
        <is>
          <t>Requirement Status</t>
        </is>
      </c>
      <c r="D158" s="44" t="inlineStr">
        <is>
          <t>17.1</t>
        </is>
      </c>
      <c r="E158" s="44" t="n">
        <v>2</v>
      </c>
      <c r="F158" s="44" t="inlineStr">
        <is>
          <t>Micro</t>
        </is>
      </c>
      <c r="G158" s="45" t="inlineStr">
        <is>
          <t>Status</t>
        </is>
      </c>
      <c r="H158" s="44" t="inlineStr">
        <is>
          <t>Built, planned or partly met, with the proof.</t>
        </is>
      </c>
      <c r="I158" s="44" t="n"/>
      <c r="J158" s="44" t="n"/>
      <c r="K158" s="44" t="n"/>
      <c r="L158" s="44" t="n"/>
      <c r="M158" s="44" t="n"/>
      <c r="N158" s="44" t="inlineStr">
        <is>
          <t>requirement</t>
        </is>
      </c>
      <c r="O158" s="44" t="inlineStr">
        <is>
          <t>(4 columns)</t>
        </is>
      </c>
    </row>
    <row r="159">
      <c r="A159" s="46" t="inlineStr">
        <is>
          <t>Step 01</t>
        </is>
      </c>
      <c r="B159" s="46" t="inlineStr">
        <is>
          <t>SEC-17</t>
        </is>
      </c>
      <c r="C159" s="46" t="inlineStr">
        <is>
          <t>Requirement Status</t>
        </is>
      </c>
      <c r="D159" s="46" t="inlineStr">
        <is>
          <t>17.1.1</t>
        </is>
      </c>
      <c r="E159" s="46" t="n">
        <v>3</v>
      </c>
      <c r="F159" s="46" t="inlineStr">
        <is>
          <t>Nano</t>
        </is>
      </c>
      <c r="G159" s="47" t="inlineStr">
        <is>
          <t>Our status</t>
        </is>
      </c>
      <c r="H159" s="46" t="inlineStr">
        <is>
          <t>Where the requirement stands today.</t>
        </is>
      </c>
      <c r="I159" s="46" t="inlineStr">
        <is>
          <t>enum</t>
        </is>
      </c>
      <c r="J159" s="46" t="inlineStr">
        <is>
          <t>atomic</t>
        </is>
      </c>
      <c r="K159" s="46" t="inlineStr">
        <is>
          <t>required</t>
        </is>
      </c>
      <c r="L159" s="46" t="inlineStr">
        <is>
          <t>list: ReqStatus</t>
        </is>
      </c>
      <c r="M159" s="46" t="inlineStr">
        <is>
          <t>Built and tested</t>
        </is>
      </c>
      <c r="N159" s="46" t="inlineStr">
        <is>
          <t>requirement</t>
        </is>
      </c>
      <c r="O159" s="46" t="inlineStr">
        <is>
          <t>our_status</t>
        </is>
      </c>
    </row>
    <row r="160">
      <c r="A160" s="46" t="inlineStr">
        <is>
          <t>Step 01</t>
        </is>
      </c>
      <c r="B160" s="46" t="inlineStr">
        <is>
          <t>SEC-17</t>
        </is>
      </c>
      <c r="C160" s="46" t="inlineStr">
        <is>
          <t>Requirement Status</t>
        </is>
      </c>
      <c r="D160" s="46" t="inlineStr">
        <is>
          <t>17.1.2</t>
        </is>
      </c>
      <c r="E160" s="46" t="n">
        <v>3</v>
      </c>
      <c r="F160" s="46" t="inlineStr">
        <is>
          <t>Nano</t>
        </is>
      </c>
      <c r="G160" s="47" t="inlineStr">
        <is>
          <t>Status detail</t>
        </is>
      </c>
      <c r="H160" s="46" t="inlineStr">
        <is>
          <t>The fuller sentence behind the status.</t>
        </is>
      </c>
      <c r="I160" s="46" t="inlineStr">
        <is>
          <t>text</t>
        </is>
      </c>
      <c r="J160" s="46" t="inlineStr">
        <is>
          <t>atomic</t>
        </is>
      </c>
      <c r="K160" s="46" t="inlineStr">
        <is>
          <t>optional</t>
        </is>
      </c>
      <c r="L160" s="46" t="inlineStr">
        <is>
          <t>0 to 400 characters</t>
        </is>
      </c>
      <c r="M160" s="46" t="inlineStr">
        <is>
          <t>Built and tested</t>
        </is>
      </c>
      <c r="N160" s="46" t="inlineStr">
        <is>
          <t>requirement</t>
        </is>
      </c>
      <c r="O160" s="46" t="inlineStr">
        <is>
          <t>status_detail</t>
        </is>
      </c>
    </row>
    <row r="161">
      <c r="A161" s="46" t="inlineStr">
        <is>
          <t>Step 01</t>
        </is>
      </c>
      <c r="B161" s="46" t="inlineStr">
        <is>
          <t>SEC-17</t>
        </is>
      </c>
      <c r="C161" s="46" t="inlineStr">
        <is>
          <t>Requirement Status</t>
        </is>
      </c>
      <c r="D161" s="46" t="inlineStr">
        <is>
          <t>17.1.3</t>
        </is>
      </c>
      <c r="E161" s="46" t="n">
        <v>3</v>
      </c>
      <c r="F161" s="46" t="inlineStr">
        <is>
          <t>Nano</t>
        </is>
      </c>
      <c r="G161" s="47" t="inlineStr">
        <is>
          <t>Evidence reference</t>
        </is>
      </c>
      <c r="H161" s="46" t="inlineStr">
        <is>
          <t>The rule, test or file that shows it.</t>
        </is>
      </c>
      <c r="I161" s="46" t="inlineStr">
        <is>
          <t>text</t>
        </is>
      </c>
      <c r="J161" s="46" t="inlineStr">
        <is>
          <t>atomic</t>
        </is>
      </c>
      <c r="K161" s="46" t="inlineStr">
        <is>
          <t>optional</t>
        </is>
      </c>
      <c r="L161" s="46" t="inlineStr">
        <is>
          <t>0 to 500 characters</t>
        </is>
      </c>
      <c r="M161" s="46" t="inlineStr">
        <is>
          <t>Unique rule on user account</t>
        </is>
      </c>
      <c r="N161" s="46" t="inlineStr">
        <is>
          <t>requirement</t>
        </is>
      </c>
      <c r="O161" s="46" t="inlineStr">
        <is>
          <t>evidence_reference</t>
        </is>
      </c>
    </row>
    <row r="162">
      <c r="A162" s="46" t="inlineStr">
        <is>
          <t>Step 01</t>
        </is>
      </c>
      <c r="B162" s="46" t="inlineStr">
        <is>
          <t>SEC-17</t>
        </is>
      </c>
      <c r="C162" s="46" t="inlineStr">
        <is>
          <t>Requirement Status</t>
        </is>
      </c>
      <c r="D162" s="46" t="inlineStr">
        <is>
          <t>17.1.4</t>
        </is>
      </c>
      <c r="E162" s="46" t="n">
        <v>3</v>
      </c>
      <c r="F162" s="46" t="inlineStr">
        <is>
          <t>Nano</t>
        </is>
      </c>
      <c r="G162" s="47" t="inlineStr">
        <is>
          <t>Tables used</t>
        </is>
      </c>
      <c r="H162" s="46" t="inlineStr">
        <is>
          <t>The tables that hold its data.</t>
        </is>
      </c>
      <c r="I162" s="46" t="inlineStr">
        <is>
          <t>text</t>
        </is>
      </c>
      <c r="J162" s="46" t="inlineStr">
        <is>
          <t>atomic</t>
        </is>
      </c>
      <c r="K162" s="46" t="inlineStr">
        <is>
          <t>optional</t>
        </is>
      </c>
      <c r="L162" s="46" t="inlineStr">
        <is>
          <t>comma separated table names</t>
        </is>
      </c>
      <c r="M162" s="46" t="inlineStr">
        <is>
          <t>candidate_profile</t>
        </is>
      </c>
      <c r="N162" s="46" t="inlineStr">
        <is>
          <t>requirement</t>
        </is>
      </c>
      <c r="O162" s="46" t="inlineStr">
        <is>
          <t>tables_used</t>
        </is>
      </c>
    </row>
    <row r="163">
      <c r="A163" s="43" t="inlineStr">
        <is>
          <t>Step 01</t>
        </is>
      </c>
      <c r="B163" s="43" t="inlineStr">
        <is>
          <t>SEC-18</t>
        </is>
      </c>
      <c r="C163" s="43" t="inlineStr">
        <is>
          <t>Scope Lines</t>
        </is>
      </c>
      <c r="D163" s="43" t="inlineStr">
        <is>
          <t>18</t>
        </is>
      </c>
      <c r="E163" s="43" t="n">
        <v>1</v>
      </c>
      <c r="F163" s="43" t="inlineStr">
        <is>
          <t>Macro</t>
        </is>
      </c>
      <c r="G163" s="43" t="inlineStr">
        <is>
          <t>Scope Lines</t>
        </is>
      </c>
      <c r="H163" s="43" t="inlineStr">
        <is>
          <t>The brief split into goals, scope, out-of-scope, assumptions and open questions.</t>
        </is>
      </c>
      <c r="I163" s="43" t="n"/>
      <c r="J163" s="43" t="n"/>
      <c r="K163" s="43" t="n"/>
      <c r="L163" s="43" t="n"/>
      <c r="M163" s="43" t="n"/>
      <c r="N163" s="43" t="inlineStr">
        <is>
          <t>scope_line</t>
        </is>
      </c>
      <c r="O163" s="43" t="n"/>
    </row>
    <row r="164">
      <c r="A164" s="44" t="inlineStr">
        <is>
          <t>Step 01</t>
        </is>
      </c>
      <c r="B164" s="44" t="inlineStr">
        <is>
          <t>SEC-18</t>
        </is>
      </c>
      <c r="C164" s="44" t="inlineStr">
        <is>
          <t>Scope Lines</t>
        </is>
      </c>
      <c r="D164" s="44" t="inlineStr">
        <is>
          <t>18.1</t>
        </is>
      </c>
      <c r="E164" s="44" t="n">
        <v>2</v>
      </c>
      <c r="F164" s="44" t="inlineStr">
        <is>
          <t>Micro</t>
        </is>
      </c>
      <c r="G164" s="45" t="inlineStr">
        <is>
          <t>Scope line</t>
        </is>
      </c>
      <c r="H164" s="44" t="inlineStr">
        <is>
          <t>One line of the split brief.</t>
        </is>
      </c>
      <c r="I164" s="44" t="n"/>
      <c r="J164" s="44" t="n"/>
      <c r="K164" s="44" t="n"/>
      <c r="L164" s="44" t="n"/>
      <c r="M164" s="44" t="n"/>
      <c r="N164" s="44" t="inlineStr">
        <is>
          <t>scope_line</t>
        </is>
      </c>
      <c r="O164" s="44" t="inlineStr">
        <is>
          <t>(3 columns)</t>
        </is>
      </c>
    </row>
    <row r="165">
      <c r="A165" s="46" t="inlineStr">
        <is>
          <t>Step 01</t>
        </is>
      </c>
      <c r="B165" s="46" t="inlineStr">
        <is>
          <t>SEC-18</t>
        </is>
      </c>
      <c r="C165" s="46" t="inlineStr">
        <is>
          <t>Scope Lines</t>
        </is>
      </c>
      <c r="D165" s="46" t="inlineStr">
        <is>
          <t>18.1.1</t>
        </is>
      </c>
      <c r="E165" s="46" t="n">
        <v>3</v>
      </c>
      <c r="F165" s="46" t="inlineStr">
        <is>
          <t>Nano</t>
        </is>
      </c>
      <c r="G165" s="47" t="inlineStr">
        <is>
          <t>Scope line id</t>
        </is>
      </c>
      <c r="H165" s="46" t="inlineStr">
        <is>
          <t>One fixed code for the line.</t>
        </is>
      </c>
      <c r="I165" s="46" t="inlineStr">
        <is>
          <t>id</t>
        </is>
      </c>
      <c r="J165" s="46" t="inlineStr">
        <is>
          <t>atomic</t>
        </is>
      </c>
      <c r="K165" s="46" t="inlineStr">
        <is>
          <t>required</t>
        </is>
      </c>
      <c r="L165" s="46" t="inlineStr">
        <is>
          <t>unique, pattern SC-nnn</t>
        </is>
      </c>
      <c r="M165" s="46" t="inlineStr">
        <is>
          <t>SC-001</t>
        </is>
      </c>
      <c r="N165" s="46" t="inlineStr">
        <is>
          <t>scope_line</t>
        </is>
      </c>
      <c r="O165" s="46" t="inlineStr">
        <is>
          <t>scope_id</t>
        </is>
      </c>
    </row>
    <row r="166">
      <c r="A166" s="46" t="inlineStr">
        <is>
          <t>Step 01</t>
        </is>
      </c>
      <c r="B166" s="46" t="inlineStr">
        <is>
          <t>SEC-18</t>
        </is>
      </c>
      <c r="C166" s="46" t="inlineStr">
        <is>
          <t>Scope Lines</t>
        </is>
      </c>
      <c r="D166" s="46" t="inlineStr">
        <is>
          <t>18.1.2</t>
        </is>
      </c>
      <c r="E166" s="46" t="n">
        <v>3</v>
      </c>
      <c r="F166" s="46" t="inlineStr">
        <is>
          <t>Nano</t>
        </is>
      </c>
      <c r="G166" s="47" t="inlineStr">
        <is>
          <t>Line type</t>
        </is>
      </c>
      <c r="H166" s="46" t="inlineStr">
        <is>
          <t>Goal, in scope, out of scope, assumption or open question.</t>
        </is>
      </c>
      <c r="I166" s="46" t="inlineStr">
        <is>
          <t>enum</t>
        </is>
      </c>
      <c r="J166" s="46" t="inlineStr">
        <is>
          <t>atomic</t>
        </is>
      </c>
      <c r="K166" s="46" t="inlineStr">
        <is>
          <t>required</t>
        </is>
      </c>
      <c r="L166" s="46" t="inlineStr">
        <is>
          <t>list: LineType</t>
        </is>
      </c>
      <c r="M166" s="46" t="inlineStr">
        <is>
          <t>Open question</t>
        </is>
      </c>
      <c r="N166" s="46" t="inlineStr">
        <is>
          <t>scope_line</t>
        </is>
      </c>
      <c r="O166" s="46" t="inlineStr">
        <is>
          <t>line_type</t>
        </is>
      </c>
    </row>
    <row r="167">
      <c r="A167" s="46" t="inlineStr">
        <is>
          <t>Step 01</t>
        </is>
      </c>
      <c r="B167" s="46" t="inlineStr">
        <is>
          <t>SEC-18</t>
        </is>
      </c>
      <c r="C167" s="46" t="inlineStr">
        <is>
          <t>Scope Lines</t>
        </is>
      </c>
      <c r="D167" s="46" t="inlineStr">
        <is>
          <t>18.1.3</t>
        </is>
      </c>
      <c r="E167" s="46" t="n">
        <v>3</v>
      </c>
      <c r="F167" s="46" t="inlineStr">
        <is>
          <t>Nano</t>
        </is>
      </c>
      <c r="G167" s="47" t="inlineStr">
        <is>
          <t>Statement</t>
        </is>
      </c>
      <c r="H167" s="46" t="inlineStr">
        <is>
          <t>The line in plain words.</t>
        </is>
      </c>
      <c r="I167" s="46" t="inlineStr">
        <is>
          <t>text</t>
        </is>
      </c>
      <c r="J167" s="46" t="inlineStr">
        <is>
          <t>atomic</t>
        </is>
      </c>
      <c r="K167" s="46" t="inlineStr">
        <is>
          <t>required</t>
        </is>
      </c>
      <c r="L167" s="46" t="inlineStr">
        <is>
          <t>1 to 500 characters</t>
        </is>
      </c>
      <c r="M167" s="46" t="inlineStr">
        <is>
          <t>Only 50,000 of 1,000,000 candidates are proven</t>
        </is>
      </c>
      <c r="N167" s="46" t="inlineStr">
        <is>
          <t>scope_line</t>
        </is>
      </c>
      <c r="O167" s="46" t="inlineStr">
        <is>
          <t>statement</t>
        </is>
      </c>
    </row>
    <row r="168">
      <c r="A168" s="44" t="inlineStr">
        <is>
          <t>Step 01</t>
        </is>
      </c>
      <c r="B168" s="44" t="inlineStr">
        <is>
          <t>SEC-18</t>
        </is>
      </c>
      <c r="C168" s="44" t="inlineStr">
        <is>
          <t>Scope Lines</t>
        </is>
      </c>
      <c r="D168" s="44" t="inlineStr">
        <is>
          <t>18.2</t>
        </is>
      </c>
      <c r="E168" s="44" t="n">
        <v>2</v>
      </c>
      <c r="F168" s="44" t="inlineStr">
        <is>
          <t>Micro</t>
        </is>
      </c>
      <c r="G168" s="45" t="inlineStr">
        <is>
          <t>Mapping</t>
        </is>
      </c>
      <c r="H168" s="44" t="inlineStr">
        <is>
          <t>Where the line comes from and which requirement it maps to.</t>
        </is>
      </c>
      <c r="I168" s="44" t="n"/>
      <c r="J168" s="44" t="n"/>
      <c r="K168" s="44" t="n"/>
      <c r="L168" s="44" t="n"/>
      <c r="M168" s="44" t="n"/>
      <c r="N168" s="44" t="inlineStr">
        <is>
          <t>scope_line</t>
        </is>
      </c>
      <c r="O168" s="44" t="inlineStr">
        <is>
          <t>(2 columns)</t>
        </is>
      </c>
    </row>
    <row r="169">
      <c r="A169" s="46" t="inlineStr">
        <is>
          <t>Step 01</t>
        </is>
      </c>
      <c r="B169" s="46" t="inlineStr">
        <is>
          <t>SEC-18</t>
        </is>
      </c>
      <c r="C169" s="46" t="inlineStr">
        <is>
          <t>Scope Lines</t>
        </is>
      </c>
      <c r="D169" s="46" t="inlineStr">
        <is>
          <t>18.2.1</t>
        </is>
      </c>
      <c r="E169" s="46" t="n">
        <v>3</v>
      </c>
      <c r="F169" s="46" t="inlineStr">
        <is>
          <t>Nano</t>
        </is>
      </c>
      <c r="G169" s="47" t="inlineStr">
        <is>
          <t>Maps to requirement</t>
        </is>
      </c>
      <c r="H169" s="46" t="inlineStr">
        <is>
          <t>The requirement the line becomes, if any.</t>
        </is>
      </c>
      <c r="I169" s="46" t="inlineStr">
        <is>
          <t>reference</t>
        </is>
      </c>
      <c r="J169" s="46" t="inlineStr">
        <is>
          <t>atomic</t>
        </is>
      </c>
      <c r="K169" s="46" t="inlineStr">
        <is>
          <t>optional</t>
        </is>
      </c>
      <c r="L169" s="46" t="inlineStr">
        <is>
          <t>an existing requirement_id</t>
        </is>
      </c>
      <c r="M169" s="46" t="inlineStr">
        <is>
          <t>FR-P01</t>
        </is>
      </c>
      <c r="N169" s="46" t="inlineStr">
        <is>
          <t>scope_line</t>
        </is>
      </c>
      <c r="O169" s="46" t="inlineStr">
        <is>
          <t>maps_to_requirement</t>
        </is>
      </c>
    </row>
    <row r="170">
      <c r="A170" s="46" t="inlineStr">
        <is>
          <t>Step 01</t>
        </is>
      </c>
      <c r="B170" s="46" t="inlineStr">
        <is>
          <t>SEC-18</t>
        </is>
      </c>
      <c r="C170" s="46" t="inlineStr">
        <is>
          <t>Scope Lines</t>
        </is>
      </c>
      <c r="D170" s="46" t="inlineStr">
        <is>
          <t>18.2.2</t>
        </is>
      </c>
      <c r="E170" s="46" t="n">
        <v>3</v>
      </c>
      <c r="F170" s="46" t="inlineStr">
        <is>
          <t>Nano</t>
        </is>
      </c>
      <c r="G170" s="47" t="inlineStr">
        <is>
          <t>Source reference</t>
        </is>
      </c>
      <c r="H170" s="46" t="inlineStr">
        <is>
          <t>Where the line was found.</t>
        </is>
      </c>
      <c r="I170" s="46" t="inlineStr">
        <is>
          <t>text</t>
        </is>
      </c>
      <c r="J170" s="46" t="inlineStr">
        <is>
          <t>atomic</t>
        </is>
      </c>
      <c r="K170" s="46" t="inlineStr">
        <is>
          <t>required</t>
        </is>
      </c>
      <c r="L170" s="46" t="inlineStr">
        <is>
          <t>1 to 200 characters</t>
        </is>
      </c>
      <c r="M170" s="46" t="inlineStr">
        <is>
          <t>Open items sheet, RK-03</t>
        </is>
      </c>
      <c r="N170" s="46" t="inlineStr">
        <is>
          <t>scope_line</t>
        </is>
      </c>
      <c r="O170" s="46" t="inlineStr">
        <is>
          <t>scope_source</t>
        </is>
      </c>
    </row>
  </sheetData>
  <autoFilter ref="A1:O17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1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0" customWidth="1" min="1" max="1"/>
    <col width="24" customWidth="1" min="2" max="2"/>
    <col width="10" customWidth="1" min="3" max="3"/>
    <col width="11" customWidth="1" min="4" max="4"/>
    <col width="13" customWidth="1" min="5" max="5"/>
    <col width="34" customWidth="1" min="6" max="6"/>
    <col width="11" customWidth="1" min="7" max="7"/>
    <col width="30" customWidth="1" min="8" max="8"/>
    <col width="11" customWidth="1" min="9" max="9"/>
    <col width="70" customWidth="1" min="10" max="10"/>
  </cols>
  <sheetData>
    <row r="1">
      <c r="A1" s="24" t="inlineStr">
        <is>
          <t>Table</t>
        </is>
      </c>
      <c r="B1" s="24" t="inlineStr">
        <is>
          <t>Column</t>
        </is>
      </c>
      <c r="C1" s="24" t="inlineStr">
        <is>
          <t>Data type</t>
        </is>
      </c>
      <c r="D1" s="24" t="inlineStr">
        <is>
          <t>Required</t>
        </is>
      </c>
      <c r="E1" s="24" t="inlineStr">
        <is>
          <t>Key</t>
        </is>
      </c>
      <c r="F1" s="24" t="inlineStr">
        <is>
          <t>Allowed values</t>
        </is>
      </c>
      <c r="G1" s="24" t="inlineStr">
        <is>
          <t>Used by id</t>
        </is>
      </c>
      <c r="H1" s="24" t="inlineStr">
        <is>
          <t>Sub-parameter</t>
        </is>
      </c>
      <c r="I1" s="24" t="inlineStr">
        <is>
          <t>Section ID</t>
        </is>
      </c>
      <c r="J1" s="24" t="inlineStr">
        <is>
          <t>L4 atomic definition</t>
        </is>
      </c>
    </row>
    <row r="2">
      <c r="A2" s="40" t="inlineStr">
        <is>
          <t>study</t>
        </is>
      </c>
      <c r="B2" s="40" t="inlineStr">
        <is>
          <t>study_id</t>
        </is>
      </c>
      <c r="C2" s="40" t="inlineStr">
        <is>
          <t>id</t>
        </is>
      </c>
      <c r="D2" s="40" t="inlineStr">
        <is>
          <t>required</t>
        </is>
      </c>
      <c r="E2" s="40" t="inlineStr">
        <is>
          <t>Primary key</t>
        </is>
      </c>
      <c r="F2" s="40" t="inlineStr">
        <is>
          <t>unique, pattern FDS-nn</t>
        </is>
      </c>
      <c r="G2" s="40" t="inlineStr">
        <is>
          <t>1.1.1</t>
        </is>
      </c>
      <c r="H2" s="40" t="inlineStr">
        <is>
          <t>Study id</t>
        </is>
      </c>
      <c r="I2" s="40" t="inlineStr">
        <is>
          <t>SEC-01</t>
        </is>
      </c>
      <c r="J2" s="40" t="inlineStr">
        <is>
          <t>Study id: one id value, required; rule: unique, pattern FDS-nn.</t>
        </is>
      </c>
    </row>
    <row r="3">
      <c r="A3" s="40" t="inlineStr">
        <is>
          <t>study</t>
        </is>
      </c>
      <c r="B3" s="40" t="inlineStr">
        <is>
          <t>product_name</t>
        </is>
      </c>
      <c r="C3" s="40" t="inlineStr">
        <is>
          <t>text</t>
        </is>
      </c>
      <c r="D3" s="40" t="inlineStr">
        <is>
          <t>required</t>
        </is>
      </c>
      <c r="E3" s="40" t="n"/>
      <c r="F3" s="40" t="inlineStr">
        <is>
          <t>1 to 100 characters</t>
        </is>
      </c>
      <c r="G3" s="40" t="inlineStr">
        <is>
          <t>1.1.2</t>
        </is>
      </c>
      <c r="H3" s="40" t="inlineStr">
        <is>
          <t>Product name</t>
        </is>
      </c>
      <c r="I3" s="40" t="inlineStr">
        <is>
          <t>SEC-01</t>
        </is>
      </c>
      <c r="J3" s="40" t="inlineStr">
        <is>
          <t>Product name: one text value, required; rule: 1 to 100 characters.</t>
        </is>
      </c>
    </row>
    <row r="4">
      <c r="A4" s="40" t="inlineStr">
        <is>
          <t>study</t>
        </is>
      </c>
      <c r="B4" s="40" t="inlineStr">
        <is>
          <t>stage</t>
        </is>
      </c>
      <c r="C4" s="40" t="inlineStr">
        <is>
          <t>enum</t>
        </is>
      </c>
      <c r="D4" s="40" t="inlineStr">
        <is>
          <t>required</t>
        </is>
      </c>
      <c r="E4" s="40" t="n"/>
      <c r="F4" s="40" t="inlineStr">
        <is>
          <t>list: Stage</t>
        </is>
      </c>
      <c r="G4" s="40" t="inlineStr">
        <is>
          <t>1.1.3</t>
        </is>
      </c>
      <c r="H4" s="40" t="inlineStr">
        <is>
          <t>Stage</t>
        </is>
      </c>
      <c r="I4" s="40" t="inlineStr">
        <is>
          <t>SEC-01</t>
        </is>
      </c>
      <c r="J4" s="40" t="inlineStr">
        <is>
          <t>Stage: one enum value, required; rule: list: Stage.</t>
        </is>
      </c>
    </row>
    <row r="5">
      <c r="A5" s="40" t="inlineStr">
        <is>
          <t>study</t>
        </is>
      </c>
      <c r="B5" s="40" t="inlineStr">
        <is>
          <t>method_type</t>
        </is>
      </c>
      <c r="C5" s="40" t="inlineStr">
        <is>
          <t>enum</t>
        </is>
      </c>
      <c r="D5" s="40" t="inlineStr">
        <is>
          <t>required</t>
        </is>
      </c>
      <c r="E5" s="40" t="n"/>
      <c r="F5" s="40" t="inlineStr">
        <is>
          <t>list: MethodType</t>
        </is>
      </c>
      <c r="G5" s="40" t="inlineStr">
        <is>
          <t>1.2.1</t>
        </is>
      </c>
      <c r="H5" s="40" t="inlineStr">
        <is>
          <t>Method type</t>
        </is>
      </c>
      <c r="I5" s="40" t="inlineStr">
        <is>
          <t>SEC-01</t>
        </is>
      </c>
      <c r="J5" s="40" t="inlineStr">
        <is>
          <t>Method type: one enum value, required; rule: list: MethodType.</t>
        </is>
      </c>
    </row>
    <row r="6">
      <c r="A6" s="40" t="inlineStr">
        <is>
          <t>study</t>
        </is>
      </c>
      <c r="B6" s="40" t="inlineStr">
        <is>
          <t>schema_version</t>
        </is>
      </c>
      <c r="C6" s="40" t="inlineStr">
        <is>
          <t>text</t>
        </is>
      </c>
      <c r="D6" s="40" t="inlineStr">
        <is>
          <t>required</t>
        </is>
      </c>
      <c r="E6" s="40" t="n"/>
      <c r="F6" s="40" t="inlineStr">
        <is>
          <t>pattern n.n</t>
        </is>
      </c>
      <c r="G6" s="40" t="inlineStr">
        <is>
          <t>1.2.2</t>
        </is>
      </c>
      <c r="H6" s="40" t="inlineStr">
        <is>
          <t>Schema version</t>
        </is>
      </c>
      <c r="I6" s="40" t="inlineStr">
        <is>
          <t>SEC-01</t>
        </is>
      </c>
      <c r="J6" s="40" t="inlineStr">
        <is>
          <t>Schema version: one text value, required; rule: pattern n.n.</t>
        </is>
      </c>
    </row>
    <row r="7">
      <c r="A7" s="40" t="inlineStr">
        <is>
          <t>study</t>
        </is>
      </c>
      <c r="B7" s="40" t="inlineStr">
        <is>
          <t>study_date</t>
        </is>
      </c>
      <c r="C7" s="40" t="inlineStr">
        <is>
          <t>date</t>
        </is>
      </c>
      <c r="D7" s="40" t="inlineStr">
        <is>
          <t>required</t>
        </is>
      </c>
      <c r="E7" s="40" t="n"/>
      <c r="F7" s="40" t="inlineStr">
        <is>
          <t>date, not in the future</t>
        </is>
      </c>
      <c r="G7" s="40" t="inlineStr">
        <is>
          <t>1.2.3</t>
        </is>
      </c>
      <c r="H7" s="40" t="inlineStr">
        <is>
          <t>Study date</t>
        </is>
      </c>
      <c r="I7" s="40" t="inlineStr">
        <is>
          <t>SEC-01</t>
        </is>
      </c>
      <c r="J7" s="40" t="inlineStr">
        <is>
          <t>Study date: one date value, required; rule: date, not in the future.</t>
        </is>
      </c>
    </row>
    <row r="8">
      <c r="A8" s="40" t="inlineStr">
        <is>
          <t>competitor</t>
        </is>
      </c>
      <c r="B8" s="40" t="inlineStr">
        <is>
          <t>competitor_id</t>
        </is>
      </c>
      <c r="C8" s="40" t="inlineStr">
        <is>
          <t>id</t>
        </is>
      </c>
      <c r="D8" s="40" t="inlineStr">
        <is>
          <t>required</t>
        </is>
      </c>
      <c r="E8" s="40" t="inlineStr">
        <is>
          <t>Primary key</t>
        </is>
      </c>
      <c r="F8" s="40" t="inlineStr">
        <is>
          <t>unique, pattern COMP-nn</t>
        </is>
      </c>
      <c r="G8" s="40" t="inlineStr">
        <is>
          <t>2.1.1</t>
        </is>
      </c>
      <c r="H8" s="40" t="inlineStr">
        <is>
          <t>Competitor id</t>
        </is>
      </c>
      <c r="I8" s="40" t="inlineStr">
        <is>
          <t>SEC-02</t>
        </is>
      </c>
      <c r="J8" s="40" t="inlineStr">
        <is>
          <t>Competitor id: one id value, required; rule: unique, pattern COMP-nn.</t>
        </is>
      </c>
    </row>
    <row r="9">
      <c r="A9" s="40" t="inlineStr">
        <is>
          <t>competitor</t>
        </is>
      </c>
      <c r="B9" s="40" t="inlineStr">
        <is>
          <t>study_id</t>
        </is>
      </c>
      <c r="C9" s="40" t="inlineStr">
        <is>
          <t>reference</t>
        </is>
      </c>
      <c r="D9" s="40" t="inlineStr">
        <is>
          <t>required</t>
        </is>
      </c>
      <c r="E9" s="40" t="inlineStr">
        <is>
          <t>Foreign key to study.study_id</t>
        </is>
      </c>
      <c r="F9" s="40" t="n"/>
      <c r="G9" s="40" t="n"/>
      <c r="H9" s="40" t="inlineStr">
        <is>
          <t>Key column, not a parameter</t>
        </is>
      </c>
      <c r="I9" s="40" t="inlineStr">
        <is>
          <t>Key link</t>
        </is>
      </c>
      <c r="J9" s="40" t="inlineStr">
        <is>
          <t>Key link to the study.</t>
        </is>
      </c>
    </row>
    <row r="10">
      <c r="A10" s="40" t="inlineStr">
        <is>
          <t>competitor</t>
        </is>
      </c>
      <c r="B10" s="40" t="inlineStr">
        <is>
          <t>competitor_name</t>
        </is>
      </c>
      <c r="C10" s="40" t="inlineStr">
        <is>
          <t>text</t>
        </is>
      </c>
      <c r="D10" s="40" t="inlineStr">
        <is>
          <t>required</t>
        </is>
      </c>
      <c r="E10" s="40" t="n"/>
      <c r="F10" s="40" t="inlineStr">
        <is>
          <t>1 to 100 characters</t>
        </is>
      </c>
      <c r="G10" s="40" t="inlineStr">
        <is>
          <t>2.1.2</t>
        </is>
      </c>
      <c r="H10" s="40" t="inlineStr">
        <is>
          <t>Competitor name</t>
        </is>
      </c>
      <c r="I10" s="40" t="inlineStr">
        <is>
          <t>SEC-02</t>
        </is>
      </c>
      <c r="J10" s="40" t="inlineStr">
        <is>
          <t>Competitor name: one text value, required; rule: 1 to 100 characters.</t>
        </is>
      </c>
    </row>
    <row r="11">
      <c r="A11" s="40" t="inlineStr">
        <is>
          <t>competitor</t>
        </is>
      </c>
      <c r="B11" s="40" t="inlineStr">
        <is>
          <t>product_type</t>
        </is>
      </c>
      <c r="C11" s="40" t="inlineStr">
        <is>
          <t>enum</t>
        </is>
      </c>
      <c r="D11" s="40" t="inlineStr">
        <is>
          <t>required</t>
        </is>
      </c>
      <c r="E11" s="40" t="n"/>
      <c r="F11" s="40" t="inlineStr">
        <is>
          <t>list: ProductType</t>
        </is>
      </c>
      <c r="G11" s="40" t="inlineStr">
        <is>
          <t>2.1.3</t>
        </is>
      </c>
      <c r="H11" s="40" t="inlineStr">
        <is>
          <t>Product type</t>
        </is>
      </c>
      <c r="I11" s="40" t="inlineStr">
        <is>
          <t>SEC-02</t>
        </is>
      </c>
      <c r="J11" s="40" t="inlineStr">
        <is>
          <t>Product type: one enum value, required; rule: list: ProductType.</t>
        </is>
      </c>
    </row>
    <row r="12">
      <c r="A12" s="40" t="inlineStr">
        <is>
          <t>competitor</t>
        </is>
      </c>
      <c r="B12" s="40" t="inlineStr">
        <is>
          <t>tier</t>
        </is>
      </c>
      <c r="C12" s="40" t="inlineStr">
        <is>
          <t>enum</t>
        </is>
      </c>
      <c r="D12" s="40" t="inlineStr">
        <is>
          <t>required</t>
        </is>
      </c>
      <c r="E12" s="40" t="n"/>
      <c r="F12" s="40" t="inlineStr">
        <is>
          <t>list: Tier</t>
        </is>
      </c>
      <c r="G12" s="40" t="inlineStr">
        <is>
          <t>2.1.4</t>
        </is>
      </c>
      <c r="H12" s="40" t="inlineStr">
        <is>
          <t>Tier</t>
        </is>
      </c>
      <c r="I12" s="40" t="inlineStr">
        <is>
          <t>SEC-02</t>
        </is>
      </c>
      <c r="J12" s="40" t="inlineStr">
        <is>
          <t>Tier: one enum value, required; rule: list: Tier.</t>
        </is>
      </c>
    </row>
    <row r="13">
      <c r="A13" s="40" t="inlineStr">
        <is>
          <t>competitor</t>
        </is>
      </c>
      <c r="B13" s="40" t="inlineStr">
        <is>
          <t>study_scope</t>
        </is>
      </c>
      <c r="C13" s="40" t="inlineStr">
        <is>
          <t>enum</t>
        </is>
      </c>
      <c r="D13" s="40" t="inlineStr">
        <is>
          <t>required</t>
        </is>
      </c>
      <c r="E13" s="40" t="n"/>
      <c r="F13" s="40" t="inlineStr">
        <is>
          <t>list: StudyScope</t>
        </is>
      </c>
      <c r="G13" s="40" t="inlineStr">
        <is>
          <t>2.2.1</t>
        </is>
      </c>
      <c r="H13" s="40" t="inlineStr">
        <is>
          <t>Scope</t>
        </is>
      </c>
      <c r="I13" s="40" t="inlineStr">
        <is>
          <t>SEC-02</t>
        </is>
      </c>
      <c r="J13" s="40" t="inlineStr">
        <is>
          <t>Scope: one enum value, required; rule: list: StudyScope.</t>
        </is>
      </c>
    </row>
    <row r="14">
      <c r="A14" s="40" t="inlineStr">
        <is>
          <t>competitor</t>
        </is>
      </c>
      <c r="B14" s="40" t="inlineStr">
        <is>
          <t>pages_studied</t>
        </is>
      </c>
      <c r="C14" s="40" t="inlineStr">
        <is>
          <t>integer</t>
        </is>
      </c>
      <c r="D14" s="40" t="inlineStr">
        <is>
          <t>required</t>
        </is>
      </c>
      <c r="E14" s="40" t="n"/>
      <c r="F14" s="40" t="inlineStr">
        <is>
          <t>0 or more</t>
        </is>
      </c>
      <c r="G14" s="40" t="inlineStr">
        <is>
          <t>2.2.2</t>
        </is>
      </c>
      <c r="H14" s="40" t="inlineStr">
        <is>
          <t>Pages studied</t>
        </is>
      </c>
      <c r="I14" s="40" t="inlineStr">
        <is>
          <t>SEC-02</t>
        </is>
      </c>
      <c r="J14" s="40" t="inlineStr">
        <is>
          <t>Pages studied: one integer value, required; rule: 0 or more.</t>
        </is>
      </c>
    </row>
    <row r="15">
      <c r="A15" s="40" t="inlineStr">
        <is>
          <t>competitor</t>
        </is>
      </c>
      <c r="B15" s="40" t="inlineStr">
        <is>
          <t>access_level</t>
        </is>
      </c>
      <c r="C15" s="40" t="inlineStr">
        <is>
          <t>enum</t>
        </is>
      </c>
      <c r="D15" s="40" t="inlineStr">
        <is>
          <t>required</t>
        </is>
      </c>
      <c r="E15" s="40" t="n"/>
      <c r="F15" s="40" t="inlineStr">
        <is>
          <t>list: PageAccess</t>
        </is>
      </c>
      <c r="G15" s="40" t="inlineStr">
        <is>
          <t>2.2.3</t>
        </is>
      </c>
      <c r="H15" s="40" t="inlineStr">
        <is>
          <t>Access level</t>
        </is>
      </c>
      <c r="I15" s="40" t="inlineStr">
        <is>
          <t>SEC-02</t>
        </is>
      </c>
      <c r="J15" s="40" t="inlineStr">
        <is>
          <t>Access level: one enum value, required; rule: list: PageAccess.</t>
        </is>
      </c>
    </row>
    <row r="16">
      <c r="A16" s="40" t="inlineStr">
        <is>
          <t>competitor</t>
        </is>
      </c>
      <c r="B16" s="40" t="inlineStr">
        <is>
          <t>last_checked_on</t>
        </is>
      </c>
      <c r="C16" s="40" t="inlineStr">
        <is>
          <t>date</t>
        </is>
      </c>
      <c r="D16" s="40" t="inlineStr">
        <is>
          <t>optional</t>
        </is>
      </c>
      <c r="E16" s="40" t="n"/>
      <c r="F16" s="40" t="inlineStr">
        <is>
          <t>date, not in the future</t>
        </is>
      </c>
      <c r="G16" s="40" t="inlineStr">
        <is>
          <t>2.3.1</t>
        </is>
      </c>
      <c r="H16" s="40" t="inlineStr">
        <is>
          <t>Last checked on</t>
        </is>
      </c>
      <c r="I16" s="40" t="inlineStr">
        <is>
          <t>SEC-02</t>
        </is>
      </c>
      <c r="J16" s="40" t="inlineStr">
        <is>
          <t>Last checked on: one date value, optional; rule: date, not in the future.</t>
        </is>
      </c>
    </row>
    <row r="17">
      <c r="A17" s="40" t="inlineStr">
        <is>
          <t>competitor</t>
        </is>
      </c>
      <c r="B17" s="40" t="inlineStr">
        <is>
          <t>evidence_status</t>
        </is>
      </c>
      <c r="C17" s="40" t="inlineStr">
        <is>
          <t>enum</t>
        </is>
      </c>
      <c r="D17" s="40" t="inlineStr">
        <is>
          <t>required</t>
        </is>
      </c>
      <c r="E17" s="40" t="n"/>
      <c r="F17" s="40" t="inlineStr">
        <is>
          <t>list: EvidenceStatus</t>
        </is>
      </c>
      <c r="G17" s="40" t="inlineStr">
        <is>
          <t>2.3.2</t>
        </is>
      </c>
      <c r="H17" s="40" t="inlineStr">
        <is>
          <t>Evidence status</t>
        </is>
      </c>
      <c r="I17" s="40" t="inlineStr">
        <is>
          <t>SEC-02</t>
        </is>
      </c>
      <c r="J17" s="40" t="inlineStr">
        <is>
          <t>Evidence status: one enum value, required; rule: list: EvidenceStatus.</t>
        </is>
      </c>
    </row>
    <row r="18">
      <c r="A18" s="40" t="inlineStr">
        <is>
          <t>feature</t>
        </is>
      </c>
      <c r="B18" s="40" t="inlineStr">
        <is>
          <t>feature_id</t>
        </is>
      </c>
      <c r="C18" s="40" t="inlineStr">
        <is>
          <t>id</t>
        </is>
      </c>
      <c r="D18" s="40" t="inlineStr">
        <is>
          <t>required</t>
        </is>
      </c>
      <c r="E18" s="40" t="inlineStr">
        <is>
          <t>Primary key</t>
        </is>
      </c>
      <c r="F18" s="40" t="inlineStr">
        <is>
          <t>unique, pattern FD-nnn</t>
        </is>
      </c>
      <c r="G18" s="40" t="inlineStr">
        <is>
          <t>3.1.1</t>
        </is>
      </c>
      <c r="H18" s="40" t="inlineStr">
        <is>
          <t>Feature id</t>
        </is>
      </c>
      <c r="I18" s="40" t="inlineStr">
        <is>
          <t>SEC-03</t>
        </is>
      </c>
      <c r="J18" s="40" t="inlineStr">
        <is>
          <t>Feature id: one id value, required; rule: unique, pattern FD-nnn.</t>
        </is>
      </c>
    </row>
    <row r="19">
      <c r="A19" s="40" t="inlineStr">
        <is>
          <t>feature</t>
        </is>
      </c>
      <c r="B19" s="40" t="inlineStr">
        <is>
          <t>study_id</t>
        </is>
      </c>
      <c r="C19" s="40" t="inlineStr">
        <is>
          <t>reference</t>
        </is>
      </c>
      <c r="D19" s="40" t="inlineStr">
        <is>
          <t>required</t>
        </is>
      </c>
      <c r="E19" s="40" t="inlineStr">
        <is>
          <t>Foreign key to study.study_id</t>
        </is>
      </c>
      <c r="F19" s="40" t="n"/>
      <c r="G19" s="40" t="n"/>
      <c r="H19" s="40" t="inlineStr">
        <is>
          <t>Key column, not a parameter</t>
        </is>
      </c>
      <c r="I19" s="40" t="inlineStr">
        <is>
          <t>Key link</t>
        </is>
      </c>
      <c r="J19" s="40" t="inlineStr">
        <is>
          <t>Key link to the study.</t>
        </is>
      </c>
    </row>
    <row r="20">
      <c r="A20" s="40" t="inlineStr">
        <is>
          <t>feature</t>
        </is>
      </c>
      <c r="B20" s="40" t="inlineStr">
        <is>
          <t>feature_name</t>
        </is>
      </c>
      <c r="C20" s="40" t="inlineStr">
        <is>
          <t>text</t>
        </is>
      </c>
      <c r="D20" s="40" t="inlineStr">
        <is>
          <t>required</t>
        </is>
      </c>
      <c r="E20" s="40" t="n"/>
      <c r="F20" s="40" t="inlineStr">
        <is>
          <t>1 to 150 characters, unique</t>
        </is>
      </c>
      <c r="G20" s="40" t="inlineStr">
        <is>
          <t>3.1.2</t>
        </is>
      </c>
      <c r="H20" s="40" t="inlineStr">
        <is>
          <t>Feature name</t>
        </is>
      </c>
      <c r="I20" s="40" t="inlineStr">
        <is>
          <t>SEC-03</t>
        </is>
      </c>
      <c r="J20" s="40" t="inlineStr">
        <is>
          <t>Feature name: one text value, required; rule: 1 to 150 characters, unique.</t>
        </is>
      </c>
    </row>
    <row r="21">
      <c r="A21" s="40" t="inlineStr">
        <is>
          <t>feature</t>
        </is>
      </c>
      <c r="B21" s="40" t="inlineStr">
        <is>
          <t>feature_level</t>
        </is>
      </c>
      <c r="C21" s="40" t="inlineStr">
        <is>
          <t>enum</t>
        </is>
      </c>
      <c r="D21" s="40" t="inlineStr">
        <is>
          <t>required</t>
        </is>
      </c>
      <c r="E21" s="40" t="n"/>
      <c r="F21" s="40" t="inlineStr">
        <is>
          <t>list: FeatureLevel</t>
        </is>
      </c>
      <c r="G21" s="40" t="inlineStr">
        <is>
          <t>3.1.3</t>
        </is>
      </c>
      <c r="H21" s="40" t="inlineStr">
        <is>
          <t>Feature level</t>
        </is>
      </c>
      <c r="I21" s="40" t="inlineStr">
        <is>
          <t>SEC-03</t>
        </is>
      </c>
      <c r="J21" s="40" t="inlineStr">
        <is>
          <t>Feature level: one enum value, required; rule: list: FeatureLevel.</t>
        </is>
      </c>
    </row>
    <row r="22">
      <c r="A22" s="40" t="inlineStr">
        <is>
          <t>feature</t>
        </is>
      </c>
      <c r="B22" s="40" t="inlineStr">
        <is>
          <t>parent_feature_id</t>
        </is>
      </c>
      <c r="C22" s="40" t="inlineStr">
        <is>
          <t>reference</t>
        </is>
      </c>
      <c r="D22" s="40" t="inlineStr">
        <is>
          <t>conditional</t>
        </is>
      </c>
      <c r="E22" s="40" t="n"/>
      <c r="F22" s="40" t="inlineStr">
        <is>
          <t>an existing feature_id; required when level is Capability</t>
        </is>
      </c>
      <c r="G22" s="40" t="inlineStr">
        <is>
          <t>3.1.4</t>
        </is>
      </c>
      <c r="H22" s="40" t="inlineStr">
        <is>
          <t>Parent feature id</t>
        </is>
      </c>
      <c r="I22" s="40" t="inlineStr">
        <is>
          <t>SEC-03</t>
        </is>
      </c>
      <c r="J22" s="40" t="inlineStr">
        <is>
          <t>Parent feature id: one reference value, conditional; rule: an existing feature_id; required when level is Capability.</t>
        </is>
      </c>
    </row>
    <row r="23">
      <c r="A23" s="40" t="inlineStr">
        <is>
          <t>feature</t>
        </is>
      </c>
      <c r="B23" s="40" t="inlineStr">
        <is>
          <t>description</t>
        </is>
      </c>
      <c r="C23" s="40" t="inlineStr">
        <is>
          <t>text</t>
        </is>
      </c>
      <c r="D23" s="40" t="inlineStr">
        <is>
          <t>required</t>
        </is>
      </c>
      <c r="E23" s="40" t="n"/>
      <c r="F23" s="40" t="inlineStr">
        <is>
          <t>1 to 500 characters</t>
        </is>
      </c>
      <c r="G23" s="40" t="inlineStr">
        <is>
          <t>3.2.1</t>
        </is>
      </c>
      <c r="H23" s="40" t="inlineStr">
        <is>
          <t>Plain description</t>
        </is>
      </c>
      <c r="I23" s="40" t="inlineStr">
        <is>
          <t>SEC-03</t>
        </is>
      </c>
      <c r="J23" s="40" t="inlineStr">
        <is>
          <t>Plain description: one text value, required; rule: 1 to 500 characters.</t>
        </is>
      </c>
    </row>
    <row r="24">
      <c r="A24" s="40" t="inlineStr">
        <is>
          <t>feature</t>
        </is>
      </c>
      <c r="B24" s="40" t="inlineStr">
        <is>
          <t>category</t>
        </is>
      </c>
      <c r="C24" s="40" t="inlineStr">
        <is>
          <t>enum</t>
        </is>
      </c>
      <c r="D24" s="40" t="inlineStr">
        <is>
          <t>required</t>
        </is>
      </c>
      <c r="E24" s="40" t="n"/>
      <c r="F24" s="40" t="inlineStr">
        <is>
          <t>list: Category</t>
        </is>
      </c>
      <c r="G24" s="40" t="inlineStr">
        <is>
          <t>3.2.2</t>
        </is>
      </c>
      <c r="H24" s="40" t="inlineStr">
        <is>
          <t>Category</t>
        </is>
      </c>
      <c r="I24" s="40" t="inlineStr">
        <is>
          <t>SEC-03</t>
        </is>
      </c>
      <c r="J24" s="40" t="inlineStr">
        <is>
          <t>Category: one enum value, required; rule: list: Category.</t>
        </is>
      </c>
    </row>
    <row r="25">
      <c r="A25" s="40" t="inlineStr">
        <is>
          <t>feature</t>
        </is>
      </c>
      <c r="B25" s="40" t="inlineStr">
        <is>
          <t>persona</t>
        </is>
      </c>
      <c r="C25" s="40" t="inlineStr">
        <is>
          <t>enum</t>
        </is>
      </c>
      <c r="D25" s="40" t="inlineStr">
        <is>
          <t>required</t>
        </is>
      </c>
      <c r="E25" s="40" t="n"/>
      <c r="F25" s="40" t="inlineStr">
        <is>
          <t>list: Persona</t>
        </is>
      </c>
      <c r="G25" s="40" t="inlineStr">
        <is>
          <t>3.2.3</t>
        </is>
      </c>
      <c r="H25" s="40" t="inlineStr">
        <is>
          <t>Persona</t>
        </is>
      </c>
      <c r="I25" s="40" t="inlineStr">
        <is>
          <t>SEC-03</t>
        </is>
      </c>
      <c r="J25" s="40" t="inlineStr">
        <is>
          <t>Persona: one enum value, required; rule: list: Persona.</t>
        </is>
      </c>
    </row>
    <row r="26">
      <c r="A26" s="40" t="inlineStr">
        <is>
          <t>feature</t>
        </is>
      </c>
      <c r="B26" s="40" t="inlineStr">
        <is>
          <t>scope</t>
        </is>
      </c>
      <c r="C26" s="40" t="inlineStr">
        <is>
          <t>enum</t>
        </is>
      </c>
      <c r="D26" s="40" t="inlineStr">
        <is>
          <t>required</t>
        </is>
      </c>
      <c r="E26" s="40" t="n"/>
      <c r="F26" s="40" t="inlineStr">
        <is>
          <t>list: ComparisonScope</t>
        </is>
      </c>
      <c r="G26" s="40" t="inlineStr">
        <is>
          <t>3.2.4</t>
        </is>
      </c>
      <c r="H26" s="40" t="inlineStr">
        <is>
          <t>Scope</t>
        </is>
      </c>
      <c r="I26" s="40" t="inlineStr">
        <is>
          <t>SEC-03</t>
        </is>
      </c>
      <c r="J26" s="40" t="inlineStr">
        <is>
          <t>Scope: one enum value, required; rule: list: ComparisonScope.</t>
        </is>
      </c>
    </row>
    <row r="27">
      <c r="A27" s="40" t="inlineStr">
        <is>
          <t>feature</t>
        </is>
      </c>
      <c r="B27" s="40" t="inlineStr">
        <is>
          <t>source_type</t>
        </is>
      </c>
      <c r="C27" s="40" t="inlineStr">
        <is>
          <t>enum</t>
        </is>
      </c>
      <c r="D27" s="40" t="inlineStr">
        <is>
          <t>required</t>
        </is>
      </c>
      <c r="E27" s="40" t="n"/>
      <c r="F27" s="40" t="inlineStr">
        <is>
          <t>list: SourceType</t>
        </is>
      </c>
      <c r="G27" s="40" t="inlineStr">
        <is>
          <t>3.3.1</t>
        </is>
      </c>
      <c r="H27" s="40" t="inlineStr">
        <is>
          <t>Source type</t>
        </is>
      </c>
      <c r="I27" s="40" t="inlineStr">
        <is>
          <t>SEC-03</t>
        </is>
      </c>
      <c r="J27" s="40" t="inlineStr">
        <is>
          <t>Source type: one enum value, required; rule: list: SourceType.</t>
        </is>
      </c>
    </row>
    <row r="28">
      <c r="A28" s="40" t="inlineStr">
        <is>
          <t>feature</t>
        </is>
      </c>
      <c r="B28" s="40" t="inlineStr">
        <is>
          <t>source_reference</t>
        </is>
      </c>
      <c r="C28" s="40" t="inlineStr">
        <is>
          <t>text</t>
        </is>
      </c>
      <c r="D28" s="40" t="inlineStr">
        <is>
          <t>required</t>
        </is>
      </c>
      <c r="E28" s="40" t="n"/>
      <c r="F28" s="40" t="inlineStr">
        <is>
          <t>1 to 200 characters</t>
        </is>
      </c>
      <c r="G28" s="40" t="inlineStr">
        <is>
          <t>3.3.2</t>
        </is>
      </c>
      <c r="H28" s="40" t="inlineStr">
        <is>
          <t>Source reference</t>
        </is>
      </c>
      <c r="I28" s="40" t="inlineStr">
        <is>
          <t>SEC-03</t>
        </is>
      </c>
      <c r="J28" s="40" t="inlineStr">
        <is>
          <t>Source reference: one text value, required; rule: 1 to 200 characters.</t>
        </is>
      </c>
    </row>
    <row r="29">
      <c r="A29" s="40" t="inlineStr">
        <is>
          <t>feature</t>
        </is>
      </c>
      <c r="B29" s="40" t="inlineStr">
        <is>
          <t>scope_decision</t>
        </is>
      </c>
      <c r="C29" s="40" t="inlineStr">
        <is>
          <t>enum</t>
        </is>
      </c>
      <c r="D29" s="40" t="inlineStr">
        <is>
          <t>required</t>
        </is>
      </c>
      <c r="E29" s="40" t="n"/>
      <c r="F29" s="40" t="inlineStr">
        <is>
          <t>list: ScopeDecision</t>
        </is>
      </c>
      <c r="G29" s="40" t="inlineStr">
        <is>
          <t>3.4.1</t>
        </is>
      </c>
      <c r="H29" s="40" t="inlineStr">
        <is>
          <t>Scope decision</t>
        </is>
      </c>
      <c r="I29" s="40" t="inlineStr">
        <is>
          <t>SEC-03</t>
        </is>
      </c>
      <c r="J29" s="40" t="inlineStr">
        <is>
          <t>Scope decision: one enum value, required; rule: list: ScopeDecision.</t>
        </is>
      </c>
    </row>
    <row r="30">
      <c r="A30" s="40" t="inlineStr">
        <is>
          <t>feature</t>
        </is>
      </c>
      <c r="B30" s="40" t="inlineStr">
        <is>
          <t>decision_reason</t>
        </is>
      </c>
      <c r="C30" s="40" t="inlineStr">
        <is>
          <t>text</t>
        </is>
      </c>
      <c r="D30" s="40" t="inlineStr">
        <is>
          <t>conditional</t>
        </is>
      </c>
      <c r="E30" s="40" t="n"/>
      <c r="F30" s="40" t="inlineStr">
        <is>
          <t>required when the decision is not Keep</t>
        </is>
      </c>
      <c r="G30" s="40" t="inlineStr">
        <is>
          <t>3.4.2</t>
        </is>
      </c>
      <c r="H30" s="40" t="inlineStr">
        <is>
          <t>Decision reason</t>
        </is>
      </c>
      <c r="I30" s="40" t="inlineStr">
        <is>
          <t>SEC-03</t>
        </is>
      </c>
      <c r="J30" s="40" t="inlineStr">
        <is>
          <t>Decision reason: one text value, conditional; rule: required when the decision is not Keep.</t>
        </is>
      </c>
    </row>
    <row r="31">
      <c r="A31" s="40" t="inlineStr">
        <is>
          <t>feature</t>
        </is>
      </c>
      <c r="B31" s="40" t="inlineStr">
        <is>
          <t>classification</t>
        </is>
      </c>
      <c r="C31" s="40" t="inlineStr">
        <is>
          <t>enum</t>
        </is>
      </c>
      <c r="D31" s="40" t="inlineStr">
        <is>
          <t>required</t>
        </is>
      </c>
      <c r="E31" s="40" t="n"/>
      <c r="F31" s="40" t="inlineStr">
        <is>
          <t>list: Class</t>
        </is>
      </c>
      <c r="G31" s="40" t="inlineStr">
        <is>
          <t>4.1.1</t>
        </is>
      </c>
      <c r="H31" s="40" t="inlineStr">
        <is>
          <t>Classification</t>
        </is>
      </c>
      <c r="I31" s="40" t="inlineStr">
        <is>
          <t>SEC-04</t>
        </is>
      </c>
      <c r="J31" s="40" t="inlineStr">
        <is>
          <t>Classification: one enum value, required; rule: list: Class.</t>
        </is>
      </c>
    </row>
    <row r="32">
      <c r="A32" s="40" t="inlineStr">
        <is>
          <t>feature</t>
        </is>
      </c>
      <c r="B32" s="40" t="inlineStr">
        <is>
          <t>class_basis</t>
        </is>
      </c>
      <c r="C32" s="40" t="inlineStr">
        <is>
          <t>enum</t>
        </is>
      </c>
      <c r="D32" s="40" t="inlineStr">
        <is>
          <t>required</t>
        </is>
      </c>
      <c r="E32" s="40" t="n"/>
      <c r="F32" s="40" t="inlineStr">
        <is>
          <t>list: ClassBasis</t>
        </is>
      </c>
      <c r="G32" s="40" t="inlineStr">
        <is>
          <t>4.1.2</t>
        </is>
      </c>
      <c r="H32" s="40" t="inlineStr">
        <is>
          <t>Class basis</t>
        </is>
      </c>
      <c r="I32" s="40" t="inlineStr">
        <is>
          <t>SEC-04</t>
        </is>
      </c>
      <c r="J32" s="40" t="inlineStr">
        <is>
          <t>Class basis: one enum value, required; rule: list: ClassBasis.</t>
        </is>
      </c>
    </row>
    <row r="33">
      <c r="A33" s="40" t="inlineStr">
        <is>
          <t>feature</t>
        </is>
      </c>
      <c r="B33" s="40" t="inlineStr">
        <is>
          <t>class_reason</t>
        </is>
      </c>
      <c r="C33" s="40" t="inlineStr">
        <is>
          <t>text</t>
        </is>
      </c>
      <c r="D33" s="40" t="inlineStr">
        <is>
          <t>required</t>
        </is>
      </c>
      <c r="E33" s="40" t="n"/>
      <c r="F33" s="40" t="inlineStr">
        <is>
          <t>1 to 300 characters</t>
        </is>
      </c>
      <c r="G33" s="40" t="inlineStr">
        <is>
          <t>4.1.3</t>
        </is>
      </c>
      <c r="H33" s="40" t="inlineStr">
        <is>
          <t>Class reason</t>
        </is>
      </c>
      <c r="I33" s="40" t="inlineStr">
        <is>
          <t>SEC-04</t>
        </is>
      </c>
      <c r="J33" s="40" t="inlineStr">
        <is>
          <t>Class reason: one text value, required; rule: 1 to 300 characters.</t>
        </is>
      </c>
    </row>
    <row r="34">
      <c r="A34" s="40" t="inlineStr">
        <is>
          <t>feature</t>
        </is>
      </c>
      <c r="B34" s="40" t="inlineStr">
        <is>
          <t>confidence</t>
        </is>
      </c>
      <c r="C34" s="40" t="inlineStr">
        <is>
          <t>enum</t>
        </is>
      </c>
      <c r="D34" s="40" t="inlineStr">
        <is>
          <t>required</t>
        </is>
      </c>
      <c r="E34" s="40" t="n"/>
      <c r="F34" s="40" t="inlineStr">
        <is>
          <t>list: Confidence</t>
        </is>
      </c>
      <c r="G34" s="40" t="inlineStr">
        <is>
          <t>4.2.1</t>
        </is>
      </c>
      <c r="H34" s="40" t="inlineStr">
        <is>
          <t>Confidence</t>
        </is>
      </c>
      <c r="I34" s="40" t="inlineStr">
        <is>
          <t>SEC-04</t>
        </is>
      </c>
      <c r="J34" s="40" t="inlineStr">
        <is>
          <t>Derived: worked out from other columns.</t>
        </is>
      </c>
    </row>
    <row r="35">
      <c r="A35" s="40" t="inlineStr">
        <is>
          <t>feature</t>
        </is>
      </c>
      <c r="B35" s="40" t="inlineStr">
        <is>
          <t>evidence_status</t>
        </is>
      </c>
      <c r="C35" s="40" t="inlineStr">
        <is>
          <t>enum</t>
        </is>
      </c>
      <c r="D35" s="40" t="inlineStr">
        <is>
          <t>required</t>
        </is>
      </c>
      <c r="E35" s="40" t="n"/>
      <c r="F35" s="40" t="inlineStr">
        <is>
          <t>list: EvidenceStatus</t>
        </is>
      </c>
      <c r="G35" s="40" t="inlineStr">
        <is>
          <t>4.2.2</t>
        </is>
      </c>
      <c r="H35" s="40" t="inlineStr">
        <is>
          <t>Evidence status</t>
        </is>
      </c>
      <c r="I35" s="40" t="inlineStr">
        <is>
          <t>SEC-04</t>
        </is>
      </c>
      <c r="J35" s="40" t="inlineStr">
        <is>
          <t>Derived: worked out from other columns.</t>
        </is>
      </c>
    </row>
    <row r="36">
      <c r="A36" s="40" t="inlineStr">
        <is>
          <t>feature</t>
        </is>
      </c>
      <c r="B36" s="40" t="inlineStr">
        <is>
          <t>leaders_studied</t>
        </is>
      </c>
      <c r="C36" s="40" t="inlineStr">
        <is>
          <t>integer</t>
        </is>
      </c>
      <c r="D36" s="40" t="inlineStr">
        <is>
          <t>required</t>
        </is>
      </c>
      <c r="E36" s="40" t="n"/>
      <c r="F36" s="40" t="inlineStr">
        <is>
          <t>0 to number of leaders</t>
        </is>
      </c>
      <c r="G36" s="40" t="inlineStr">
        <is>
          <t>4.2.3</t>
        </is>
      </c>
      <c r="H36" s="40" t="inlineStr">
        <is>
          <t>Leaders studied</t>
        </is>
      </c>
      <c r="I36" s="40" t="inlineStr">
        <is>
          <t>SEC-04</t>
        </is>
      </c>
      <c r="J36" s="40" t="inlineStr">
        <is>
          <t>Derived: worked out from other columns.</t>
        </is>
      </c>
    </row>
    <row r="37">
      <c r="A37" s="40" t="inlineStr">
        <is>
          <t>feature</t>
        </is>
      </c>
      <c r="B37" s="40" t="inlineStr">
        <is>
          <t>leaders_offering</t>
        </is>
      </c>
      <c r="C37" s="40" t="inlineStr">
        <is>
          <t>integer</t>
        </is>
      </c>
      <c r="D37" s="40" t="inlineStr">
        <is>
          <t>required</t>
        </is>
      </c>
      <c r="E37" s="40" t="n"/>
      <c r="F37" s="40" t="inlineStr">
        <is>
          <t>0 to leaders studied</t>
        </is>
      </c>
      <c r="G37" s="40" t="inlineStr">
        <is>
          <t>4.2.4</t>
        </is>
      </c>
      <c r="H37" s="40" t="inlineStr">
        <is>
          <t>Leaders offering</t>
        </is>
      </c>
      <c r="I37" s="40" t="inlineStr">
        <is>
          <t>SEC-04</t>
        </is>
      </c>
      <c r="J37" s="40" t="inlineStr">
        <is>
          <t>Derived: worked out from other columns.</t>
        </is>
      </c>
    </row>
    <row r="38">
      <c r="A38" s="40" t="inlineStr">
        <is>
          <t>feature</t>
        </is>
      </c>
      <c r="B38" s="40" t="inlineStr">
        <is>
          <t>our_coverage</t>
        </is>
      </c>
      <c r="C38" s="40" t="inlineStr">
        <is>
          <t>enum</t>
        </is>
      </c>
      <c r="D38" s="40" t="inlineStr">
        <is>
          <t>required</t>
        </is>
      </c>
      <c r="E38" s="40" t="n"/>
      <c r="F38" s="40" t="inlineStr">
        <is>
          <t>list: OurCoverage</t>
        </is>
      </c>
      <c r="G38" s="40" t="inlineStr">
        <is>
          <t>5.4.1</t>
        </is>
      </c>
      <c r="H38" s="40" t="inlineStr">
        <is>
          <t>Our coverage</t>
        </is>
      </c>
      <c r="I38" s="40" t="inlineStr">
        <is>
          <t>SEC-05</t>
        </is>
      </c>
      <c r="J38" s="40" t="inlineStr">
        <is>
          <t>Our coverage: one enum value, required; rule: list: OurCoverage.</t>
        </is>
      </c>
    </row>
    <row r="39">
      <c r="A39" s="40" t="inlineStr">
        <is>
          <t>feature</t>
        </is>
      </c>
      <c r="B39" s="40" t="inlineStr">
        <is>
          <t>verdict</t>
        </is>
      </c>
      <c r="C39" s="40" t="inlineStr">
        <is>
          <t>enum</t>
        </is>
      </c>
      <c r="D39" s="40" t="inlineStr">
        <is>
          <t>required</t>
        </is>
      </c>
      <c r="E39" s="40" t="n"/>
      <c r="F39" s="40" t="inlineStr">
        <is>
          <t>list: Verdict</t>
        </is>
      </c>
      <c r="G39" s="40" t="inlineStr">
        <is>
          <t>5.4.2</t>
        </is>
      </c>
      <c r="H39" s="40" t="inlineStr">
        <is>
          <t>Verdict</t>
        </is>
      </c>
      <c r="I39" s="40" t="inlineStr">
        <is>
          <t>SEC-05</t>
        </is>
      </c>
      <c r="J39" s="40" t="inlineStr">
        <is>
          <t>Verdict: one enum value, required; rule: list: Verdict.</t>
        </is>
      </c>
    </row>
    <row r="40">
      <c r="A40" s="40" t="inlineStr">
        <is>
          <t>feature</t>
        </is>
      </c>
      <c r="B40" s="40" t="inlineStr">
        <is>
          <t>trace_status</t>
        </is>
      </c>
      <c r="C40" s="40" t="inlineStr">
        <is>
          <t>enum</t>
        </is>
      </c>
      <c r="D40" s="40" t="inlineStr">
        <is>
          <t>required</t>
        </is>
      </c>
      <c r="E40" s="40" t="n"/>
      <c r="F40" s="40" t="inlineStr">
        <is>
          <t>list: TraceState</t>
        </is>
      </c>
      <c r="G40" s="40" t="inlineStr">
        <is>
          <t>6.2.1</t>
        </is>
      </c>
      <c r="H40" s="40" t="inlineStr">
        <is>
          <t>Trace status</t>
        </is>
      </c>
      <c r="I40" s="40" t="inlineStr">
        <is>
          <t>SEC-06</t>
        </is>
      </c>
      <c r="J40" s="40" t="inlineStr">
        <is>
          <t>Derived: worked out from other columns.</t>
        </is>
      </c>
    </row>
    <row r="41">
      <c r="A41" s="40" t="inlineStr">
        <is>
          <t>feature</t>
        </is>
      </c>
      <c r="B41" s="40" t="inlineStr">
        <is>
          <t>new_insight_reason</t>
        </is>
      </c>
      <c r="C41" s="40" t="inlineStr">
        <is>
          <t>text</t>
        </is>
      </c>
      <c r="D41" s="40" t="inlineStr">
        <is>
          <t>conditional</t>
        </is>
      </c>
      <c r="E41" s="40" t="n"/>
      <c r="F41" s="40" t="inlineStr">
        <is>
          <t>required when status is New insight</t>
        </is>
      </c>
      <c r="G41" s="40" t="inlineStr">
        <is>
          <t>6.2.2</t>
        </is>
      </c>
      <c r="H41" s="40" t="inlineStr">
        <is>
          <t>New insight reason</t>
        </is>
      </c>
      <c r="I41" s="40" t="inlineStr">
        <is>
          <t>SEC-06</t>
        </is>
      </c>
      <c r="J41" s="40" t="inlineStr">
        <is>
          <t>New insight reason: one text value, conditional; rule: required when status is New insight.</t>
        </is>
      </c>
    </row>
    <row r="42">
      <c r="A42" s="40" t="inlineStr">
        <is>
          <t>feature</t>
        </is>
      </c>
      <c r="B42" s="40" t="inlineStr">
        <is>
          <t>modules</t>
        </is>
      </c>
      <c r="C42" s="40" t="inlineStr">
        <is>
          <t>text</t>
        </is>
      </c>
      <c r="D42" s="40" t="inlineStr">
        <is>
          <t>optional</t>
        </is>
      </c>
      <c r="E42" s="40" t="n"/>
      <c r="F42" s="40" t="inlineStr">
        <is>
          <t>comma separated names</t>
        </is>
      </c>
      <c r="G42" s="40" t="inlineStr">
        <is>
          <t>6.3.1</t>
        </is>
      </c>
      <c r="H42" s="40" t="inlineStr">
        <is>
          <t>Modules</t>
        </is>
      </c>
      <c r="I42" s="40" t="inlineStr">
        <is>
          <t>SEC-06</t>
        </is>
      </c>
      <c r="J42" s="40" t="inlineStr">
        <is>
          <t>Modules: one text value, optional; rule: comma separated names.</t>
        </is>
      </c>
    </row>
    <row r="43">
      <c r="A43" s="40" t="inlineStr">
        <is>
          <t>feature</t>
        </is>
      </c>
      <c r="B43" s="40" t="inlineStr">
        <is>
          <t>tables_used</t>
        </is>
      </c>
      <c r="C43" s="40" t="inlineStr">
        <is>
          <t>text</t>
        </is>
      </c>
      <c r="D43" s="40" t="inlineStr">
        <is>
          <t>optional</t>
        </is>
      </c>
      <c r="E43" s="40" t="n"/>
      <c r="F43" s="40" t="inlineStr">
        <is>
          <t>comma separated table names</t>
        </is>
      </c>
      <c r="G43" s="40" t="inlineStr">
        <is>
          <t>6.3.2</t>
        </is>
      </c>
      <c r="H43" s="40" t="inlineStr">
        <is>
          <t>Tables used</t>
        </is>
      </c>
      <c r="I43" s="40" t="inlineStr">
        <is>
          <t>SEC-06</t>
        </is>
      </c>
      <c r="J43" s="40" t="inlineStr">
        <is>
          <t>Tables used: one text value, optional; rule: comma separated table names.</t>
        </is>
      </c>
    </row>
    <row r="44">
      <c r="A44" s="40" t="inlineStr">
        <is>
          <t>feature</t>
        </is>
      </c>
      <c r="B44" s="40" t="inlineStr">
        <is>
          <t>key_columns</t>
        </is>
      </c>
      <c r="C44" s="40" t="inlineStr">
        <is>
          <t>text</t>
        </is>
      </c>
      <c r="D44" s="40" t="inlineStr">
        <is>
          <t>optional</t>
        </is>
      </c>
      <c r="E44" s="40" t="n"/>
      <c r="F44" s="40" t="inlineStr">
        <is>
          <t>comma separated table.column</t>
        </is>
      </c>
      <c r="G44" s="40" t="inlineStr">
        <is>
          <t>6.3.3</t>
        </is>
      </c>
      <c r="H44" s="40" t="inlineStr">
        <is>
          <t>Key columns</t>
        </is>
      </c>
      <c r="I44" s="40" t="inlineStr">
        <is>
          <t>SEC-06</t>
        </is>
      </c>
      <c r="J44" s="40" t="inlineStr">
        <is>
          <t>Key columns: one text value, optional; rule: comma separated table.column.</t>
        </is>
      </c>
    </row>
    <row r="45">
      <c r="A45" s="40" t="inlineStr">
        <is>
          <t>feature</t>
        </is>
      </c>
      <c r="B45" s="40" t="inlineStr">
        <is>
          <t>decision_ids</t>
        </is>
      </c>
      <c r="C45" s="40" t="inlineStr">
        <is>
          <t>text</t>
        </is>
      </c>
      <c r="D45" s="40" t="inlineStr">
        <is>
          <t>optional</t>
        </is>
      </c>
      <c r="E45" s="40" t="n"/>
      <c r="F45" s="40" t="inlineStr">
        <is>
          <t>comma separated ids</t>
        </is>
      </c>
      <c r="G45" s="40" t="inlineStr">
        <is>
          <t>6.3.4</t>
        </is>
      </c>
      <c r="H45" s="40" t="inlineStr">
        <is>
          <t>Decision ids</t>
        </is>
      </c>
      <c r="I45" s="40" t="inlineStr">
        <is>
          <t>SEC-06</t>
        </is>
      </c>
      <c r="J45" s="40" t="inlineStr">
        <is>
          <t>Decision ids: one text value, optional; rule: comma separated ids.</t>
        </is>
      </c>
    </row>
    <row r="46">
      <c r="A46" s="40" t="inlineStr">
        <is>
          <t>feature</t>
        </is>
      </c>
      <c r="B46" s="40" t="inlineStr">
        <is>
          <t>tests_total</t>
        </is>
      </c>
      <c r="C46" s="40" t="inlineStr">
        <is>
          <t>integer</t>
        </is>
      </c>
      <c r="D46" s="40" t="inlineStr">
        <is>
          <t>optional</t>
        </is>
      </c>
      <c r="E46" s="40" t="n"/>
      <c r="F46" s="40" t="inlineStr">
        <is>
          <t>0 or more</t>
        </is>
      </c>
      <c r="G46" s="40" t="inlineStr">
        <is>
          <t>6.3.5</t>
        </is>
      </c>
      <c r="H46" s="40" t="inlineStr">
        <is>
          <t>Tests total</t>
        </is>
      </c>
      <c r="I46" s="40" t="inlineStr">
        <is>
          <t>SEC-06</t>
        </is>
      </c>
      <c r="J46" s="40" t="inlineStr">
        <is>
          <t>Derived: worked out from other columns.</t>
        </is>
      </c>
    </row>
    <row r="47">
      <c r="A47" s="40" t="inlineStr">
        <is>
          <t>feature</t>
        </is>
      </c>
      <c r="B47" s="40" t="inlineStr">
        <is>
          <t>tests_passed</t>
        </is>
      </c>
      <c r="C47" s="40" t="inlineStr">
        <is>
          <t>integer</t>
        </is>
      </c>
      <c r="D47" s="40" t="inlineStr">
        <is>
          <t>optional</t>
        </is>
      </c>
      <c r="E47" s="40" t="n"/>
      <c r="F47" s="40" t="inlineStr">
        <is>
          <t>0 to tests total</t>
        </is>
      </c>
      <c r="G47" s="40" t="inlineStr">
        <is>
          <t>6.3.6</t>
        </is>
      </c>
      <c r="H47" s="40" t="inlineStr">
        <is>
          <t>Tests passed</t>
        </is>
      </c>
      <c r="I47" s="40" t="inlineStr">
        <is>
          <t>SEC-06</t>
        </is>
      </c>
      <c r="J47" s="40" t="inlineStr">
        <is>
          <t>Derived: worked out from other columns.</t>
        </is>
      </c>
    </row>
    <row r="48">
      <c r="A48" s="40" t="inlineStr">
        <is>
          <t>competitor_coverage</t>
        </is>
      </c>
      <c r="B48" s="40" t="inlineStr">
        <is>
          <t>feature_id</t>
        </is>
      </c>
      <c r="C48" s="40" t="inlineStr">
        <is>
          <t>reference</t>
        </is>
      </c>
      <c r="D48" s="40" t="inlineStr">
        <is>
          <t>required</t>
        </is>
      </c>
      <c r="E48" s="40" t="inlineStr">
        <is>
          <t>Primary key (part 1) and foreign key to feature.feature_id</t>
        </is>
      </c>
      <c r="F48" s="40" t="inlineStr">
        <is>
          <t>an existing feature_id</t>
        </is>
      </c>
      <c r="G48" s="40" t="inlineStr">
        <is>
          <t>5.1.1</t>
        </is>
      </c>
      <c r="H48" s="40" t="inlineStr">
        <is>
          <t>Feature id</t>
        </is>
      </c>
      <c r="I48" s="40" t="inlineStr">
        <is>
          <t>SEC-05</t>
        </is>
      </c>
      <c r="J48" s="40" t="inlineStr">
        <is>
          <t>Feature id: one reference value, required; rule: an existing feature_id.</t>
        </is>
      </c>
    </row>
    <row r="49">
      <c r="A49" s="40" t="inlineStr">
        <is>
          <t>competitor_coverage</t>
        </is>
      </c>
      <c r="B49" s="40" t="inlineStr">
        <is>
          <t>competitor_id</t>
        </is>
      </c>
      <c r="C49" s="40" t="inlineStr">
        <is>
          <t>reference</t>
        </is>
      </c>
      <c r="D49" s="40" t="inlineStr">
        <is>
          <t>required</t>
        </is>
      </c>
      <c r="E49" s="40" t="inlineStr">
        <is>
          <t>Primary key (part 2) and foreign key to competitor.competitor_id</t>
        </is>
      </c>
      <c r="F49" s="40" t="inlineStr">
        <is>
          <t>an existing competitor_id</t>
        </is>
      </c>
      <c r="G49" s="40" t="inlineStr">
        <is>
          <t>5.1.2</t>
        </is>
      </c>
      <c r="H49" s="40" t="inlineStr">
        <is>
          <t>Competitor id</t>
        </is>
      </c>
      <c r="I49" s="40" t="inlineStr">
        <is>
          <t>SEC-05</t>
        </is>
      </c>
      <c r="J49" s="40" t="inlineStr">
        <is>
          <t>Competitor id: one reference value, required; rule: an existing competitor_id.</t>
        </is>
      </c>
    </row>
    <row r="50">
      <c r="A50" s="40" t="inlineStr">
        <is>
          <t>competitor_coverage</t>
        </is>
      </c>
      <c r="B50" s="40" t="inlineStr">
        <is>
          <t>offering</t>
        </is>
      </c>
      <c r="C50" s="40" t="inlineStr">
        <is>
          <t>enum</t>
        </is>
      </c>
      <c r="D50" s="40" t="inlineStr">
        <is>
          <t>required</t>
        </is>
      </c>
      <c r="E50" s="40" t="n"/>
      <c r="F50" s="40" t="inlineStr">
        <is>
          <t>list: CellValue</t>
        </is>
      </c>
      <c r="G50" s="40" t="inlineStr">
        <is>
          <t>5.2.1</t>
        </is>
      </c>
      <c r="H50" s="40" t="inlineStr">
        <is>
          <t>Offering</t>
        </is>
      </c>
      <c r="I50" s="40" t="inlineStr">
        <is>
          <t>SEC-05</t>
        </is>
      </c>
      <c r="J50" s="40" t="inlineStr">
        <is>
          <t>Offering: one enum value, required; rule: list: CellValue.</t>
        </is>
      </c>
    </row>
    <row r="51">
      <c r="A51" s="40" t="inlineStr">
        <is>
          <t>competitor_coverage</t>
        </is>
      </c>
      <c r="B51" s="40" t="inlineStr">
        <is>
          <t>offering_note</t>
        </is>
      </c>
      <c r="C51" s="40" t="inlineStr">
        <is>
          <t>text</t>
        </is>
      </c>
      <c r="D51" s="40" t="inlineStr">
        <is>
          <t>optional</t>
        </is>
      </c>
      <c r="E51" s="40" t="n"/>
      <c r="F51" s="40" t="inlineStr">
        <is>
          <t>0 to 300 characters</t>
        </is>
      </c>
      <c r="G51" s="40" t="inlineStr">
        <is>
          <t>5.2.2</t>
        </is>
      </c>
      <c r="H51" s="40" t="inlineStr">
        <is>
          <t>Offering note</t>
        </is>
      </c>
      <c r="I51" s="40" t="inlineStr">
        <is>
          <t>SEC-05</t>
        </is>
      </c>
      <c r="J51" s="40" t="inlineStr">
        <is>
          <t>Offering note: one text value, optional; rule: 0 to 300 characters.</t>
        </is>
      </c>
    </row>
    <row r="52">
      <c r="A52" s="40" t="inlineStr">
        <is>
          <t>competitor_coverage</t>
        </is>
      </c>
      <c r="B52" s="40" t="inlineStr">
        <is>
          <t>evidence_type</t>
        </is>
      </c>
      <c r="C52" s="40" t="inlineStr">
        <is>
          <t>enum</t>
        </is>
      </c>
      <c r="D52" s="40" t="inlineStr">
        <is>
          <t>required</t>
        </is>
      </c>
      <c r="E52" s="40" t="n"/>
      <c r="F52" s="40" t="inlineStr">
        <is>
          <t>list: EvidenceType</t>
        </is>
      </c>
      <c r="G52" s="40" t="inlineStr">
        <is>
          <t>5.3.1</t>
        </is>
      </c>
      <c r="H52" s="40" t="inlineStr">
        <is>
          <t>Evidence type</t>
        </is>
      </c>
      <c r="I52" s="40" t="inlineStr">
        <is>
          <t>SEC-05</t>
        </is>
      </c>
      <c r="J52" s="40" t="inlineStr">
        <is>
          <t>Evidence type: one enum value, required; rule: list: EvidenceType.</t>
        </is>
      </c>
    </row>
    <row r="53">
      <c r="A53" s="40" t="inlineStr">
        <is>
          <t>competitor_coverage</t>
        </is>
      </c>
      <c r="B53" s="40" t="inlineStr">
        <is>
          <t>evidence_source</t>
        </is>
      </c>
      <c r="C53" s="40" t="inlineStr">
        <is>
          <t>text</t>
        </is>
      </c>
      <c r="D53" s="40" t="inlineStr">
        <is>
          <t>required</t>
        </is>
      </c>
      <c r="E53" s="40" t="n"/>
      <c r="F53" s="40" t="inlineStr">
        <is>
          <t>1 to 300 characters</t>
        </is>
      </c>
      <c r="G53" s="40" t="inlineStr">
        <is>
          <t>5.3.2</t>
        </is>
      </c>
      <c r="H53" s="40" t="inlineStr">
        <is>
          <t>Evidence source</t>
        </is>
      </c>
      <c r="I53" s="40" t="inlineStr">
        <is>
          <t>SEC-05</t>
        </is>
      </c>
      <c r="J53" s="40" t="inlineStr">
        <is>
          <t>Evidence source: one text value, required; rule: 1 to 300 characters.</t>
        </is>
      </c>
    </row>
    <row r="54">
      <c r="A54" s="40" t="inlineStr">
        <is>
          <t>competitor_coverage</t>
        </is>
      </c>
      <c r="B54" s="40" t="inlineStr">
        <is>
          <t>checked_on</t>
        </is>
      </c>
      <c r="C54" s="40" t="inlineStr">
        <is>
          <t>date</t>
        </is>
      </c>
      <c r="D54" s="40" t="inlineStr">
        <is>
          <t>optional</t>
        </is>
      </c>
      <c r="E54" s="40" t="n"/>
      <c r="F54" s="40" t="inlineStr">
        <is>
          <t>date, not in the future</t>
        </is>
      </c>
      <c r="G54" s="40" t="inlineStr">
        <is>
          <t>5.3.3</t>
        </is>
      </c>
      <c r="H54" s="40" t="inlineStr">
        <is>
          <t>Checked on</t>
        </is>
      </c>
      <c r="I54" s="40" t="inlineStr">
        <is>
          <t>SEC-05</t>
        </is>
      </c>
      <c r="J54" s="40" t="inlineStr">
        <is>
          <t>Checked on: one date value, optional; rule: date, not in the future.</t>
        </is>
      </c>
    </row>
    <row r="55">
      <c r="A55" s="40" t="inlineStr">
        <is>
          <t>feature_requirement</t>
        </is>
      </c>
      <c r="B55" s="40" t="inlineStr">
        <is>
          <t>feature_id</t>
        </is>
      </c>
      <c r="C55" s="40" t="inlineStr">
        <is>
          <t>reference</t>
        </is>
      </c>
      <c r="D55" s="40" t="inlineStr">
        <is>
          <t>required</t>
        </is>
      </c>
      <c r="E55" s="40" t="inlineStr">
        <is>
          <t>Primary key (part 1) and foreign key to feature.feature_id</t>
        </is>
      </c>
      <c r="F55" s="40" t="inlineStr">
        <is>
          <t>an existing feature_id</t>
        </is>
      </c>
      <c r="G55" s="40" t="inlineStr">
        <is>
          <t>6.1.1</t>
        </is>
      </c>
      <c r="H55" s="40" t="inlineStr">
        <is>
          <t>Feature id</t>
        </is>
      </c>
      <c r="I55" s="40" t="inlineStr">
        <is>
          <t>SEC-06</t>
        </is>
      </c>
      <c r="J55" s="40" t="inlineStr">
        <is>
          <t>Feature id: one reference value, required; rule: an existing feature_id.</t>
        </is>
      </c>
    </row>
    <row r="56">
      <c r="A56" s="40" t="inlineStr">
        <is>
          <t>feature_requirement</t>
        </is>
      </c>
      <c r="B56" s="40" t="inlineStr">
        <is>
          <t>requirement_id</t>
        </is>
      </c>
      <c r="C56" s="40" t="inlineStr">
        <is>
          <t>text</t>
        </is>
      </c>
      <c r="D56" s="40" t="inlineStr">
        <is>
          <t>required</t>
        </is>
      </c>
      <c r="E56" s="40" t="inlineStr">
        <is>
          <t>Primary key (part 2); points to the Requirements workbook, not to a table here</t>
        </is>
      </c>
      <c r="F56" s="40" t="inlineStr">
        <is>
          <t>pattern FR-xxx or NFR-nn</t>
        </is>
      </c>
      <c r="G56" s="40" t="inlineStr">
        <is>
          <t>6.1.2</t>
        </is>
      </c>
      <c r="H56" s="40" t="inlineStr">
        <is>
          <t>Requirement id</t>
        </is>
      </c>
      <c r="I56" s="40" t="inlineStr">
        <is>
          <t>SEC-06</t>
        </is>
      </c>
      <c r="J56" s="40" t="inlineStr">
        <is>
          <t>Requirement id: one text value, required; rule: pattern FR-xxx or NFR-nn.</t>
        </is>
      </c>
    </row>
    <row r="57">
      <c r="A57" s="40" t="inlineStr">
        <is>
          <t>feature_requirement</t>
        </is>
      </c>
      <c r="B57" s="40" t="inlineStr">
        <is>
          <t>relationship</t>
        </is>
      </c>
      <c r="C57" s="40" t="inlineStr">
        <is>
          <t>enum</t>
        </is>
      </c>
      <c r="D57" s="40" t="inlineStr">
        <is>
          <t>required</t>
        </is>
      </c>
      <c r="E57" s="40" t="n"/>
      <c r="F57" s="40" t="inlineStr">
        <is>
          <t>list: Relationship</t>
        </is>
      </c>
      <c r="G57" s="40" t="inlineStr">
        <is>
          <t>6.1.3</t>
        </is>
      </c>
      <c r="H57" s="40" t="inlineStr">
        <is>
          <t>Relationship</t>
        </is>
      </c>
      <c r="I57" s="40" t="inlineStr">
        <is>
          <t>SEC-06</t>
        </is>
      </c>
      <c r="J57" s="40" t="inlineStr">
        <is>
          <t>Relationship: one enum value, required; rule: list: Relationship.</t>
        </is>
      </c>
    </row>
    <row r="58">
      <c r="A58" s="40" t="inlineStr">
        <is>
          <t>competitor_gap</t>
        </is>
      </c>
      <c r="B58" s="40" t="inlineStr">
        <is>
          <t>gap_id</t>
        </is>
      </c>
      <c r="C58" s="40" t="inlineStr">
        <is>
          <t>id</t>
        </is>
      </c>
      <c r="D58" s="40" t="inlineStr">
        <is>
          <t>required</t>
        </is>
      </c>
      <c r="E58" s="40" t="inlineStr">
        <is>
          <t>Primary key</t>
        </is>
      </c>
      <c r="F58" s="40" t="inlineStr">
        <is>
          <t>unique, pattern GAP-nn</t>
        </is>
      </c>
      <c r="G58" s="40" t="inlineStr">
        <is>
          <t>7.1.1</t>
        </is>
      </c>
      <c r="H58" s="40" t="inlineStr">
        <is>
          <t>Gap id</t>
        </is>
      </c>
      <c r="I58" s="40" t="inlineStr">
        <is>
          <t>SEC-07</t>
        </is>
      </c>
      <c r="J58" s="40" t="inlineStr">
        <is>
          <t>Gap id: one id value, required; rule: unique, pattern GAP-nn.</t>
        </is>
      </c>
    </row>
    <row r="59">
      <c r="A59" s="40" t="inlineStr">
        <is>
          <t>competitor_gap</t>
        </is>
      </c>
      <c r="B59" s="40" t="inlineStr">
        <is>
          <t>feature_id</t>
        </is>
      </c>
      <c r="C59" s="40" t="inlineStr">
        <is>
          <t>reference</t>
        </is>
      </c>
      <c r="D59" s="40" t="inlineStr">
        <is>
          <t>required</t>
        </is>
      </c>
      <c r="E59" s="40" t="inlineStr">
        <is>
          <t>Foreign key to feature.feature_id</t>
        </is>
      </c>
      <c r="F59" s="40" t="inlineStr">
        <is>
          <t>an existing feature_id</t>
        </is>
      </c>
      <c r="G59" s="40" t="inlineStr">
        <is>
          <t>7.1.2</t>
        </is>
      </c>
      <c r="H59" s="40" t="inlineStr">
        <is>
          <t>Feature id</t>
        </is>
      </c>
      <c r="I59" s="40" t="inlineStr">
        <is>
          <t>SEC-07</t>
        </is>
      </c>
      <c r="J59" s="40" t="inlineStr">
        <is>
          <t>Feature id: one reference value, required; rule: an existing feature_id.</t>
        </is>
      </c>
    </row>
    <row r="60">
      <c r="A60" s="40" t="inlineStr">
        <is>
          <t>competitor_gap</t>
        </is>
      </c>
      <c r="B60" s="40" t="inlineStr">
        <is>
          <t>gap_direction</t>
        </is>
      </c>
      <c r="C60" s="40" t="inlineStr">
        <is>
          <t>enum</t>
        </is>
      </c>
      <c r="D60" s="40" t="inlineStr">
        <is>
          <t>required</t>
        </is>
      </c>
      <c r="E60" s="40" t="n"/>
      <c r="F60" s="40" t="inlineStr">
        <is>
          <t>list: GapDirection</t>
        </is>
      </c>
      <c r="G60" s="40" t="inlineStr">
        <is>
          <t>7.1.3</t>
        </is>
      </c>
      <c r="H60" s="40" t="inlineStr">
        <is>
          <t>Gap direction</t>
        </is>
      </c>
      <c r="I60" s="40" t="inlineStr">
        <is>
          <t>SEC-07</t>
        </is>
      </c>
      <c r="J60" s="40" t="inlineStr">
        <is>
          <t>Gap direction: one enum value, required; rule: list: GapDirection.</t>
        </is>
      </c>
    </row>
    <row r="61">
      <c r="A61" s="40" t="inlineStr">
        <is>
          <t>competitor_gap</t>
        </is>
      </c>
      <c r="B61" s="40" t="inlineStr">
        <is>
          <t>lack_nature</t>
        </is>
      </c>
      <c r="C61" s="40" t="inlineStr">
        <is>
          <t>enum</t>
        </is>
      </c>
      <c r="D61" s="40" t="inlineStr">
        <is>
          <t>required</t>
        </is>
      </c>
      <c r="E61" s="40" t="n"/>
      <c r="F61" s="40" t="inlineStr">
        <is>
          <t>list: LackNature</t>
        </is>
      </c>
      <c r="G61" s="40" t="inlineStr">
        <is>
          <t>7.1.4</t>
        </is>
      </c>
      <c r="H61" s="40" t="inlineStr">
        <is>
          <t>Lack nature</t>
        </is>
      </c>
      <c r="I61" s="40" t="inlineStr">
        <is>
          <t>SEC-07</t>
        </is>
      </c>
      <c r="J61" s="40" t="inlineStr">
        <is>
          <t>Lack nature: one enum value, required; rule: list: LackNature.</t>
        </is>
      </c>
    </row>
    <row r="62">
      <c r="A62" s="40" t="inlineStr">
        <is>
          <t>competitor_gap</t>
        </is>
      </c>
      <c r="B62" s="40" t="inlineStr">
        <is>
          <t>gap_evidence</t>
        </is>
      </c>
      <c r="C62" s="40" t="inlineStr">
        <is>
          <t>text</t>
        </is>
      </c>
      <c r="D62" s="40" t="inlineStr">
        <is>
          <t>required</t>
        </is>
      </c>
      <c r="E62" s="40" t="n"/>
      <c r="F62" s="40" t="inlineStr">
        <is>
          <t>1 to 500 characters</t>
        </is>
      </c>
      <c r="G62" s="40" t="inlineStr">
        <is>
          <t>7.2.1</t>
        </is>
      </c>
      <c r="H62" s="40" t="inlineStr">
        <is>
          <t>Gap evidence</t>
        </is>
      </c>
      <c r="I62" s="40" t="inlineStr">
        <is>
          <t>SEC-07</t>
        </is>
      </c>
      <c r="J62" s="40" t="inlineStr">
        <is>
          <t>Gap evidence: one text value, required; rule: 1 to 500 characters.</t>
        </is>
      </c>
    </row>
    <row r="63">
      <c r="A63" s="40" t="inlineStr">
        <is>
          <t>competitor_gap</t>
        </is>
      </c>
      <c r="B63" s="40" t="inlineStr">
        <is>
          <t>evidence_status</t>
        </is>
      </c>
      <c r="C63" s="40" t="inlineStr">
        <is>
          <t>enum</t>
        </is>
      </c>
      <c r="D63" s="40" t="inlineStr">
        <is>
          <t>required</t>
        </is>
      </c>
      <c r="E63" s="40" t="n"/>
      <c r="F63" s="40" t="inlineStr">
        <is>
          <t>list: EvidenceStatus</t>
        </is>
      </c>
      <c r="G63" s="40" t="inlineStr">
        <is>
          <t>7.2.2</t>
        </is>
      </c>
      <c r="H63" s="40" t="inlineStr">
        <is>
          <t>Evidence status</t>
        </is>
      </c>
      <c r="I63" s="40" t="inlineStr">
        <is>
          <t>SEC-07</t>
        </is>
      </c>
      <c r="J63" s="40" t="inlineStr">
        <is>
          <t>Evidence status: one enum value, required; rule: list: EvidenceStatus.</t>
        </is>
      </c>
    </row>
    <row r="64">
      <c r="A64" s="40" t="inlineStr">
        <is>
          <t>competitor_gap</t>
        </is>
      </c>
      <c r="B64" s="40" t="inlineStr">
        <is>
          <t>reason_type</t>
        </is>
      </c>
      <c r="C64" s="40" t="inlineStr">
        <is>
          <t>enum</t>
        </is>
      </c>
      <c r="D64" s="40" t="inlineStr">
        <is>
          <t>required</t>
        </is>
      </c>
      <c r="E64" s="40" t="n"/>
      <c r="F64" s="40" t="inlineStr">
        <is>
          <t>list: ReasonType</t>
        </is>
      </c>
      <c r="G64" s="40" t="inlineStr">
        <is>
          <t>7.3.1</t>
        </is>
      </c>
      <c r="H64" s="40" t="inlineStr">
        <is>
          <t>Reason type</t>
        </is>
      </c>
      <c r="I64" s="40" t="inlineStr">
        <is>
          <t>SEC-07</t>
        </is>
      </c>
      <c r="J64" s="40" t="inlineStr">
        <is>
          <t>Reason type: one enum value, required; rule: list: ReasonType.</t>
        </is>
      </c>
    </row>
    <row r="65">
      <c r="A65" s="40" t="inlineStr">
        <is>
          <t>competitor_gap</t>
        </is>
      </c>
      <c r="B65" s="40" t="inlineStr">
        <is>
          <t>why_it_matters</t>
        </is>
      </c>
      <c r="C65" s="40" t="inlineStr">
        <is>
          <t>text</t>
        </is>
      </c>
      <c r="D65" s="40" t="inlineStr">
        <is>
          <t>required</t>
        </is>
      </c>
      <c r="E65" s="40" t="n"/>
      <c r="F65" s="40" t="inlineStr">
        <is>
          <t>1 to 600 characters</t>
        </is>
      </c>
      <c r="G65" s="40" t="inlineStr">
        <is>
          <t>7.3.2</t>
        </is>
      </c>
      <c r="H65" s="40" t="inlineStr">
        <is>
          <t>Why it matters</t>
        </is>
      </c>
      <c r="I65" s="40" t="inlineStr">
        <is>
          <t>SEC-07</t>
        </is>
      </c>
      <c r="J65" s="40" t="inlineStr">
        <is>
          <t>Why it matters: one text value, required; rule: 1 to 600 characters.</t>
        </is>
      </c>
    </row>
    <row r="66">
      <c r="A66" s="40" t="inlineStr">
        <is>
          <t>competitor_gap</t>
        </is>
      </c>
      <c r="B66" s="40" t="inlineStr">
        <is>
          <t>persona_affected</t>
        </is>
      </c>
      <c r="C66" s="40" t="inlineStr">
        <is>
          <t>enum</t>
        </is>
      </c>
      <c r="D66" s="40" t="inlineStr">
        <is>
          <t>required</t>
        </is>
      </c>
      <c r="E66" s="40" t="n"/>
      <c r="F66" s="40" t="inlineStr">
        <is>
          <t>list: Persona</t>
        </is>
      </c>
      <c r="G66" s="40" t="inlineStr">
        <is>
          <t>7.3.3</t>
        </is>
      </c>
      <c r="H66" s="40" t="inlineStr">
        <is>
          <t>Persona affected</t>
        </is>
      </c>
      <c r="I66" s="40" t="inlineStr">
        <is>
          <t>SEC-07</t>
        </is>
      </c>
      <c r="J66" s="40" t="inlineStr">
        <is>
          <t>Persona affected: one enum value, required; rule: list: Persona.</t>
        </is>
      </c>
    </row>
    <row r="67">
      <c r="A67" s="40" t="inlineStr">
        <is>
          <t>competitor_gap</t>
        </is>
      </c>
      <c r="B67" s="40" t="inlineStr">
        <is>
          <t>impact_dimension</t>
        </is>
      </c>
      <c r="C67" s="40" t="inlineStr">
        <is>
          <t>enum</t>
        </is>
      </c>
      <c r="D67" s="40" t="inlineStr">
        <is>
          <t>required</t>
        </is>
      </c>
      <c r="E67" s="40" t="n"/>
      <c r="F67" s="40" t="inlineStr">
        <is>
          <t>list: ImpactDimension</t>
        </is>
      </c>
      <c r="G67" s="40" t="inlineStr">
        <is>
          <t>7.3.4</t>
        </is>
      </c>
      <c r="H67" s="40" t="inlineStr">
        <is>
          <t>Impact dimension</t>
        </is>
      </c>
      <c r="I67" s="40" t="inlineStr">
        <is>
          <t>SEC-07</t>
        </is>
      </c>
      <c r="J67" s="40" t="inlineStr">
        <is>
          <t>Impact dimension: one enum value, required; rule: list: ImpactDimension.</t>
        </is>
      </c>
    </row>
    <row r="68">
      <c r="A68" s="40" t="inlineStr">
        <is>
          <t>competitor_gap</t>
        </is>
      </c>
      <c r="B68" s="40" t="inlineStr">
        <is>
          <t>what_we_built</t>
        </is>
      </c>
      <c r="C68" s="40" t="inlineStr">
        <is>
          <t>text</t>
        </is>
      </c>
      <c r="D68" s="40" t="inlineStr">
        <is>
          <t>required</t>
        </is>
      </c>
      <c r="E68" s="40" t="n"/>
      <c r="F68" s="40" t="inlineStr">
        <is>
          <t>1 to 500 characters</t>
        </is>
      </c>
      <c r="G68" s="40" t="inlineStr">
        <is>
          <t>7.4.1</t>
        </is>
      </c>
      <c r="H68" s="40" t="inlineStr">
        <is>
          <t>What we built</t>
        </is>
      </c>
      <c r="I68" s="40" t="inlineStr">
        <is>
          <t>SEC-07</t>
        </is>
      </c>
      <c r="J68" s="40" t="inlineStr">
        <is>
          <t>What we built: one text value, required; rule: 1 to 500 characters.</t>
        </is>
      </c>
    </row>
    <row r="69">
      <c r="A69" s="40" t="inlineStr">
        <is>
          <t>competitor_gap</t>
        </is>
      </c>
      <c r="B69" s="40" t="inlineStr">
        <is>
          <t>proof_type</t>
        </is>
      </c>
      <c r="C69" s="40" t="inlineStr">
        <is>
          <t>enum</t>
        </is>
      </c>
      <c r="D69" s="40" t="inlineStr">
        <is>
          <t>required</t>
        </is>
      </c>
      <c r="E69" s="40" t="n"/>
      <c r="F69" s="40" t="inlineStr">
        <is>
          <t>list: ProofType</t>
        </is>
      </c>
      <c r="G69" s="40" t="inlineStr">
        <is>
          <t>7.4.2</t>
        </is>
      </c>
      <c r="H69" s="40" t="inlineStr">
        <is>
          <t>Proof type</t>
        </is>
      </c>
      <c r="I69" s="40" t="inlineStr">
        <is>
          <t>SEC-07</t>
        </is>
      </c>
      <c r="J69" s="40" t="inlineStr">
        <is>
          <t>Proof type: one enum value, required; rule: list: ProofType.</t>
        </is>
      </c>
    </row>
    <row r="70">
      <c r="A70" s="40" t="inlineStr">
        <is>
          <t>competitor_gap</t>
        </is>
      </c>
      <c r="B70" s="40" t="inlineStr">
        <is>
          <t>proof_reference</t>
        </is>
      </c>
      <c r="C70" s="40" t="inlineStr">
        <is>
          <t>text</t>
        </is>
      </c>
      <c r="D70" s="40" t="inlineStr">
        <is>
          <t>required</t>
        </is>
      </c>
      <c r="E70" s="40" t="n"/>
      <c r="F70" s="40" t="inlineStr">
        <is>
          <t>1 to 300 characters</t>
        </is>
      </c>
      <c r="G70" s="40" t="inlineStr">
        <is>
          <t>7.4.3</t>
        </is>
      </c>
      <c r="H70" s="40" t="inlineStr">
        <is>
          <t>Proof reference</t>
        </is>
      </c>
      <c r="I70" s="40" t="inlineStr">
        <is>
          <t>SEC-07</t>
        </is>
      </c>
      <c r="J70" s="40" t="inlineStr">
        <is>
          <t>Proof reference: one text value, required; rule: 1 to 300 characters.</t>
        </is>
      </c>
    </row>
    <row r="71">
      <c r="A71" s="40" t="inlineStr">
        <is>
          <t>competitor_gap</t>
        </is>
      </c>
      <c r="B71" s="40" t="inlineStr">
        <is>
          <t>action</t>
        </is>
      </c>
      <c r="C71" s="40" t="inlineStr">
        <is>
          <t>enum</t>
        </is>
      </c>
      <c r="D71" s="40" t="inlineStr">
        <is>
          <t>required</t>
        </is>
      </c>
      <c r="E71" s="40" t="n"/>
      <c r="F71" s="40" t="inlineStr">
        <is>
          <t>list: Action</t>
        </is>
      </c>
      <c r="G71" s="40" t="inlineStr">
        <is>
          <t>7.4.4</t>
        </is>
      </c>
      <c r="H71" s="40" t="inlineStr">
        <is>
          <t>Action</t>
        </is>
      </c>
      <c r="I71" s="40" t="inlineStr">
        <is>
          <t>SEC-07</t>
        </is>
      </c>
      <c r="J71" s="40" t="inlineStr">
        <is>
          <t>Action: one enum value, required; rule: list: Action.</t>
        </is>
      </c>
    </row>
    <row r="72">
      <c r="A72" s="40" t="inlineStr">
        <is>
          <t>review_log</t>
        </is>
      </c>
      <c r="B72" s="40" t="inlineStr">
        <is>
          <t>review_id</t>
        </is>
      </c>
      <c r="C72" s="40" t="inlineStr">
        <is>
          <t>id</t>
        </is>
      </c>
      <c r="D72" s="40" t="inlineStr">
        <is>
          <t>required</t>
        </is>
      </c>
      <c r="E72" s="40" t="inlineStr">
        <is>
          <t>Primary key</t>
        </is>
      </c>
      <c r="F72" s="40" t="inlineStr">
        <is>
          <t>unique, pattern REV-nn</t>
        </is>
      </c>
      <c r="G72" s="40" t="inlineStr">
        <is>
          <t>8.1.1</t>
        </is>
      </c>
      <c r="H72" s="40" t="inlineStr">
        <is>
          <t>Review id</t>
        </is>
      </c>
      <c r="I72" s="40" t="inlineStr">
        <is>
          <t>SEC-08</t>
        </is>
      </c>
      <c r="J72" s="40" t="inlineStr">
        <is>
          <t>Review id: one id value, required; rule: unique, pattern REV-nn.</t>
        </is>
      </c>
    </row>
    <row r="73">
      <c r="A73" s="40" t="inlineStr">
        <is>
          <t>review_log</t>
        </is>
      </c>
      <c r="B73" s="40" t="inlineStr">
        <is>
          <t>study_id</t>
        </is>
      </c>
      <c r="C73" s="40" t="inlineStr">
        <is>
          <t>reference</t>
        </is>
      </c>
      <c r="D73" s="40" t="inlineStr">
        <is>
          <t>required</t>
        </is>
      </c>
      <c r="E73" s="40" t="inlineStr">
        <is>
          <t>Foreign key to study.study_id</t>
        </is>
      </c>
      <c r="F73" s="40" t="n"/>
      <c r="G73" s="40" t="n"/>
      <c r="H73" s="40" t="inlineStr">
        <is>
          <t>Key column, not a parameter</t>
        </is>
      </c>
      <c r="I73" s="40" t="inlineStr">
        <is>
          <t>Key link</t>
        </is>
      </c>
      <c r="J73" s="40" t="inlineStr">
        <is>
          <t>Key link to the study.</t>
        </is>
      </c>
    </row>
    <row r="74">
      <c r="A74" s="40" t="inlineStr">
        <is>
          <t>review_log</t>
        </is>
      </c>
      <c r="B74" s="40" t="inlineStr">
        <is>
          <t>review_round</t>
        </is>
      </c>
      <c r="C74" s="40" t="inlineStr">
        <is>
          <t>integer</t>
        </is>
      </c>
      <c r="D74" s="40" t="inlineStr">
        <is>
          <t>required</t>
        </is>
      </c>
      <c r="E74" s="40" t="n"/>
      <c r="F74" s="40" t="inlineStr">
        <is>
          <t>1 or more</t>
        </is>
      </c>
      <c r="G74" s="40" t="inlineStr">
        <is>
          <t>8.1.2</t>
        </is>
      </c>
      <c r="H74" s="40" t="inlineStr">
        <is>
          <t>Review round</t>
        </is>
      </c>
      <c r="I74" s="40" t="inlineStr">
        <is>
          <t>SEC-08</t>
        </is>
      </c>
      <c r="J74" s="40" t="inlineStr">
        <is>
          <t>Review round: one integer value, required; rule: 1 or more.</t>
        </is>
      </c>
    </row>
    <row r="75">
      <c r="A75" s="40" t="inlineStr">
        <is>
          <t>review_log</t>
        </is>
      </c>
      <c r="B75" s="40" t="inlineStr">
        <is>
          <t>review_type</t>
        </is>
      </c>
      <c r="C75" s="40" t="inlineStr">
        <is>
          <t>enum</t>
        </is>
      </c>
      <c r="D75" s="40" t="inlineStr">
        <is>
          <t>required</t>
        </is>
      </c>
      <c r="E75" s="40" t="n"/>
      <c r="F75" s="40" t="inlineStr">
        <is>
          <t>list: ReviewType</t>
        </is>
      </c>
      <c r="G75" s="40" t="inlineStr">
        <is>
          <t>8.1.3</t>
        </is>
      </c>
      <c r="H75" s="40" t="inlineStr">
        <is>
          <t>Review type</t>
        </is>
      </c>
      <c r="I75" s="40" t="inlineStr">
        <is>
          <t>SEC-08</t>
        </is>
      </c>
      <c r="J75" s="40" t="inlineStr">
        <is>
          <t>Review type: one enum value, required; rule: list: ReviewType.</t>
        </is>
      </c>
    </row>
    <row r="76">
      <c r="A76" s="40" t="inlineStr">
        <is>
          <t>review_log</t>
        </is>
      </c>
      <c r="B76" s="40" t="inlineStr">
        <is>
          <t>reviewer</t>
        </is>
      </c>
      <c r="C76" s="40" t="inlineStr">
        <is>
          <t>text</t>
        </is>
      </c>
      <c r="D76" s="40" t="inlineStr">
        <is>
          <t>required</t>
        </is>
      </c>
      <c r="E76" s="40" t="n"/>
      <c r="F76" s="40" t="inlineStr">
        <is>
          <t>1 to 100 characters</t>
        </is>
      </c>
      <c r="G76" s="40" t="inlineStr">
        <is>
          <t>8.2.1</t>
        </is>
      </c>
      <c r="H76" s="40" t="inlineStr">
        <is>
          <t>Reviewer</t>
        </is>
      </c>
      <c r="I76" s="40" t="inlineStr">
        <is>
          <t>SEC-08</t>
        </is>
      </c>
      <c r="J76" s="40" t="inlineStr">
        <is>
          <t>Reviewer: one text value, required; rule: 1 to 100 characters.</t>
        </is>
      </c>
    </row>
    <row r="77">
      <c r="A77" s="40" t="inlineStr">
        <is>
          <t>review_log</t>
        </is>
      </c>
      <c r="B77" s="40" t="inlineStr">
        <is>
          <t>outcome</t>
        </is>
      </c>
      <c r="C77" s="40" t="inlineStr">
        <is>
          <t>enum</t>
        </is>
      </c>
      <c r="D77" s="40" t="inlineStr">
        <is>
          <t>required</t>
        </is>
      </c>
      <c r="E77" s="40" t="n"/>
      <c r="F77" s="40" t="inlineStr">
        <is>
          <t>list: ReviewOutcome</t>
        </is>
      </c>
      <c r="G77" s="40" t="inlineStr">
        <is>
          <t>8.2.2</t>
        </is>
      </c>
      <c r="H77" s="40" t="inlineStr">
        <is>
          <t>Outcome</t>
        </is>
      </c>
      <c r="I77" s="40" t="inlineStr">
        <is>
          <t>SEC-08</t>
        </is>
      </c>
      <c r="J77" s="40" t="inlineStr">
        <is>
          <t>Outcome: one enum value, required; rule: list: ReviewOutcome.</t>
        </is>
      </c>
    </row>
    <row r="78">
      <c r="A78" s="40" t="inlineStr">
        <is>
          <t>review_log</t>
        </is>
      </c>
      <c r="B78" s="40" t="inlineStr">
        <is>
          <t>change_summary</t>
        </is>
      </c>
      <c r="C78" s="40" t="inlineStr">
        <is>
          <t>text</t>
        </is>
      </c>
      <c r="D78" s="40" t="inlineStr">
        <is>
          <t>optional</t>
        </is>
      </c>
      <c r="E78" s="40" t="n"/>
      <c r="F78" s="40" t="inlineStr">
        <is>
          <t>0 to 500 characters</t>
        </is>
      </c>
      <c r="G78" s="40" t="inlineStr">
        <is>
          <t>8.2.3</t>
        </is>
      </c>
      <c r="H78" s="40" t="inlineStr">
        <is>
          <t>Change summary</t>
        </is>
      </c>
      <c r="I78" s="40" t="inlineStr">
        <is>
          <t>SEC-08</t>
        </is>
      </c>
      <c r="J78" s="40" t="inlineStr">
        <is>
          <t>Change summary: one text value, optional; rule: 0 to 500 characters.</t>
        </is>
      </c>
    </row>
    <row r="79">
      <c r="A79" s="40" t="inlineStr">
        <is>
          <t>review_log</t>
        </is>
      </c>
      <c r="B79" s="40" t="inlineStr">
        <is>
          <t>reviewed_on</t>
        </is>
      </c>
      <c r="C79" s="40" t="inlineStr">
        <is>
          <t>date</t>
        </is>
      </c>
      <c r="D79" s="40" t="inlineStr">
        <is>
          <t>required</t>
        </is>
      </c>
      <c r="E79" s="40" t="n"/>
      <c r="F79" s="40" t="inlineStr">
        <is>
          <t>date, not in the future</t>
        </is>
      </c>
      <c r="G79" s="40" t="inlineStr">
        <is>
          <t>8.2.4</t>
        </is>
      </c>
      <c r="H79" s="40" t="inlineStr">
        <is>
          <t>Reviewed on</t>
        </is>
      </c>
      <c r="I79" s="40" t="inlineStr">
        <is>
          <t>SEC-08</t>
        </is>
      </c>
      <c r="J79" s="40" t="inlineStr">
        <is>
          <t>Reviewed on: one date value, required; rule: date, not in the future.</t>
        </is>
      </c>
    </row>
    <row r="80">
      <c r="A80" s="40" t="inlineStr">
        <is>
          <t>nfr</t>
        </is>
      </c>
      <c r="B80" s="40" t="inlineStr">
        <is>
          <t>nfr_id</t>
        </is>
      </c>
      <c r="C80" s="40" t="inlineStr">
        <is>
          <t>id</t>
        </is>
      </c>
      <c r="D80" s="40" t="inlineStr">
        <is>
          <t>required</t>
        </is>
      </c>
      <c r="E80" s="40" t="inlineStr">
        <is>
          <t>Primary key</t>
        </is>
      </c>
      <c r="F80" s="40" t="inlineStr">
        <is>
          <t>unique, pattern NFR-nn</t>
        </is>
      </c>
      <c r="G80" s="40" t="inlineStr">
        <is>
          <t>9.1.1</t>
        </is>
      </c>
      <c r="H80" s="40" t="inlineStr">
        <is>
          <t>NFR id</t>
        </is>
      </c>
      <c r="I80" s="40" t="inlineStr">
        <is>
          <t>SEC-09</t>
        </is>
      </c>
      <c r="J80" s="40" t="inlineStr">
        <is>
          <t>NFR id: one id value, required; rule: unique, pattern NFR-nn.</t>
        </is>
      </c>
    </row>
    <row r="81">
      <c r="A81" s="40" t="inlineStr">
        <is>
          <t>nfr</t>
        </is>
      </c>
      <c r="B81" s="40" t="inlineStr">
        <is>
          <t>category</t>
        </is>
      </c>
      <c r="C81" s="40" t="inlineStr">
        <is>
          <t>enum</t>
        </is>
      </c>
      <c r="D81" s="40" t="inlineStr">
        <is>
          <t>required</t>
        </is>
      </c>
      <c r="E81" s="40" t="n"/>
      <c r="F81" s="40" t="inlineStr">
        <is>
          <t>list: NfrCategory</t>
        </is>
      </c>
      <c r="G81" s="40" t="inlineStr">
        <is>
          <t>9.1.2</t>
        </is>
      </c>
      <c r="H81" s="40" t="inlineStr">
        <is>
          <t>Quality area</t>
        </is>
      </c>
      <c r="I81" s="40" t="inlineStr">
        <is>
          <t>SEC-09</t>
        </is>
      </c>
      <c r="J81" s="40" t="inlineStr">
        <is>
          <t>Quality area: one enum value, required; rule: list: NfrCategory.</t>
        </is>
      </c>
    </row>
    <row r="82">
      <c r="A82" s="40" t="inlineStr">
        <is>
          <t>nfr</t>
        </is>
      </c>
      <c r="B82" s="40" t="inlineStr">
        <is>
          <t>requirement_statement</t>
        </is>
      </c>
      <c r="C82" s="40" t="inlineStr">
        <is>
          <t>text</t>
        </is>
      </c>
      <c r="D82" s="40" t="inlineStr">
        <is>
          <t>required</t>
        </is>
      </c>
      <c r="E82" s="40" t="n"/>
      <c r="F82" s="40" t="inlineStr">
        <is>
          <t>1 to 500 characters</t>
        </is>
      </c>
      <c r="G82" s="40" t="inlineStr">
        <is>
          <t>9.1.3</t>
        </is>
      </c>
      <c r="H82" s="40" t="inlineStr">
        <is>
          <t>Requirement statement</t>
        </is>
      </c>
      <c r="I82" s="40" t="inlineStr">
        <is>
          <t>SEC-09</t>
        </is>
      </c>
      <c r="J82" s="40" t="inlineStr">
        <is>
          <t>Requirement statement: one text value, required; rule: 1 to 500 characters.</t>
        </is>
      </c>
    </row>
    <row r="83">
      <c r="A83" s="40" t="inlineStr">
        <is>
          <t>nfr</t>
        </is>
      </c>
      <c r="B83" s="40" t="inlineStr">
        <is>
          <t>source_reference</t>
        </is>
      </c>
      <c r="C83" s="40" t="inlineStr">
        <is>
          <t>text</t>
        </is>
      </c>
      <c r="D83" s="40" t="inlineStr">
        <is>
          <t>required</t>
        </is>
      </c>
      <c r="E83" s="40" t="n"/>
      <c r="F83" s="40" t="inlineStr">
        <is>
          <t>1 to 200 characters</t>
        </is>
      </c>
      <c r="G83" s="40" t="inlineStr">
        <is>
          <t>9.2.1</t>
        </is>
      </c>
      <c r="H83" s="40" t="inlineStr">
        <is>
          <t>Source reference</t>
        </is>
      </c>
      <c r="I83" s="40" t="inlineStr">
        <is>
          <t>SEC-09</t>
        </is>
      </c>
      <c r="J83" s="40" t="inlineStr">
        <is>
          <t>Source reference: one text value, required; rule: 1 to 200 characters.</t>
        </is>
      </c>
    </row>
    <row r="84">
      <c r="A84" s="40" t="inlineStr">
        <is>
          <t>nfr</t>
        </is>
      </c>
      <c r="B84" s="40" t="inlineStr">
        <is>
          <t>metric</t>
        </is>
      </c>
      <c r="C84" s="40" t="inlineStr">
        <is>
          <t>text</t>
        </is>
      </c>
      <c r="D84" s="40" t="inlineStr">
        <is>
          <t>required</t>
        </is>
      </c>
      <c r="E84" s="40" t="n"/>
      <c r="F84" s="40" t="inlineStr">
        <is>
          <t>1 to 150 characters</t>
        </is>
      </c>
      <c r="G84" s="40" t="inlineStr">
        <is>
          <t>10.1.1</t>
        </is>
      </c>
      <c r="H84" s="40" t="inlineStr">
        <is>
          <t>Metric</t>
        </is>
      </c>
      <c r="I84" s="40" t="inlineStr">
        <is>
          <t>SEC-10</t>
        </is>
      </c>
      <c r="J84" s="40" t="inlineStr">
        <is>
          <t>Metric: one text value, required; rule: 1 to 150 characters.</t>
        </is>
      </c>
    </row>
    <row r="85">
      <c r="A85" s="40" t="inlineStr">
        <is>
          <t>nfr</t>
        </is>
      </c>
      <c r="B85" s="40" t="inlineStr">
        <is>
          <t>unit</t>
        </is>
      </c>
      <c r="C85" s="40" t="inlineStr">
        <is>
          <t>text</t>
        </is>
      </c>
      <c r="D85" s="40" t="inlineStr">
        <is>
          <t>conditional</t>
        </is>
      </c>
      <c r="E85" s="40" t="n"/>
      <c r="F85" s="40" t="inlineStr">
        <is>
          <t>required when a target value is set</t>
        </is>
      </c>
      <c r="G85" s="40" t="inlineStr">
        <is>
          <t>10.1.2</t>
        </is>
      </c>
      <c r="H85" s="40" t="inlineStr">
        <is>
          <t>Unit</t>
        </is>
      </c>
      <c r="I85" s="40" t="inlineStr">
        <is>
          <t>SEC-10</t>
        </is>
      </c>
      <c r="J85" s="40" t="inlineStr">
        <is>
          <t>Unit: one text value, conditional; rule: required when a target value is set.</t>
        </is>
      </c>
    </row>
    <row r="86">
      <c r="A86" s="40" t="inlineStr">
        <is>
          <t>nfr</t>
        </is>
      </c>
      <c r="B86" s="40" t="inlineStr">
        <is>
          <t>comparator</t>
        </is>
      </c>
      <c r="C86" s="40" t="inlineStr">
        <is>
          <t>enum</t>
        </is>
      </c>
      <c r="D86" s="40" t="inlineStr">
        <is>
          <t>conditional</t>
        </is>
      </c>
      <c r="E86" s="40" t="n"/>
      <c r="F86" s="40" t="inlineStr">
        <is>
          <t>list: Comparator; required when a target value is set</t>
        </is>
      </c>
      <c r="G86" s="40" t="inlineStr">
        <is>
          <t>10.2.1</t>
        </is>
      </c>
      <c r="H86" s="40" t="inlineStr">
        <is>
          <t>Comparator</t>
        </is>
      </c>
      <c r="I86" s="40" t="inlineStr">
        <is>
          <t>SEC-10</t>
        </is>
      </c>
      <c r="J86" s="40" t="inlineStr">
        <is>
          <t>Comparator: one enum value, conditional; rule: list: Comparator; required when a target value is set.</t>
        </is>
      </c>
    </row>
    <row r="87">
      <c r="A87" s="40" t="inlineStr">
        <is>
          <t>nfr</t>
        </is>
      </c>
      <c r="B87" s="40" t="inlineStr">
        <is>
          <t>target_value</t>
        </is>
      </c>
      <c r="C87" s="40" t="inlineStr">
        <is>
          <t>decimal</t>
        </is>
      </c>
      <c r="D87" s="40" t="inlineStr">
        <is>
          <t>conditional</t>
        </is>
      </c>
      <c r="E87" s="40" t="n"/>
      <c r="F87" s="40" t="inlineStr">
        <is>
          <t>0 or more</t>
        </is>
      </c>
      <c r="G87" s="40" t="inlineStr">
        <is>
          <t>10.2.2</t>
        </is>
      </c>
      <c r="H87" s="40" t="inlineStr">
        <is>
          <t>Target value</t>
        </is>
      </c>
      <c r="I87" s="40" t="inlineStr">
        <is>
          <t>SEC-10</t>
        </is>
      </c>
      <c r="J87" s="40" t="inlineStr">
        <is>
          <t>Target value: one decimal value, conditional; rule: 0 or more.</t>
        </is>
      </c>
    </row>
    <row r="88">
      <c r="A88" s="40" t="inlineStr">
        <is>
          <t>nfr</t>
        </is>
      </c>
      <c r="B88" s="40" t="inlineStr">
        <is>
          <t>target_text</t>
        </is>
      </c>
      <c r="C88" s="40" t="inlineStr">
        <is>
          <t>text</t>
        </is>
      </c>
      <c r="D88" s="40" t="inlineStr">
        <is>
          <t>required</t>
        </is>
      </c>
      <c r="E88" s="40" t="n"/>
      <c r="F88" s="40" t="inlineStr">
        <is>
          <t>1 to 300 characters</t>
        </is>
      </c>
      <c r="G88" s="40" t="inlineStr">
        <is>
          <t>10.2.3</t>
        </is>
      </c>
      <c r="H88" s="40" t="inlineStr">
        <is>
          <t>Target as written</t>
        </is>
      </c>
      <c r="I88" s="40" t="inlineStr">
        <is>
          <t>SEC-10</t>
        </is>
      </c>
      <c r="J88" s="40" t="inlineStr">
        <is>
          <t>Target as written: one text value, required; rule: 1 to 300 characters.</t>
        </is>
      </c>
    </row>
    <row r="89">
      <c r="A89" s="40" t="inlineStr">
        <is>
          <t>nfr</t>
        </is>
      </c>
      <c r="B89" s="40" t="inlineStr">
        <is>
          <t>target_status</t>
        </is>
      </c>
      <c r="C89" s="40" t="inlineStr">
        <is>
          <t>enum</t>
        </is>
      </c>
      <c r="D89" s="40" t="inlineStr">
        <is>
          <t>required</t>
        </is>
      </c>
      <c r="E89" s="40" t="n"/>
      <c r="F89" s="40" t="inlineStr">
        <is>
          <t>list: TargetStatus</t>
        </is>
      </c>
      <c r="G89" s="40" t="inlineStr">
        <is>
          <t>10.2.4</t>
        </is>
      </c>
      <c r="H89" s="40" t="inlineStr">
        <is>
          <t>Target status</t>
        </is>
      </c>
      <c r="I89" s="40" t="inlineStr">
        <is>
          <t>SEC-10</t>
        </is>
      </c>
      <c r="J89" s="40" t="inlineStr">
        <is>
          <t>Target status: one enum value, required; rule: list: TargetStatus.</t>
        </is>
      </c>
    </row>
    <row r="90">
      <c r="A90" s="40" t="inlineStr">
        <is>
          <t>nfr</t>
        </is>
      </c>
      <c r="B90" s="40" t="inlineStr">
        <is>
          <t>test_method</t>
        </is>
      </c>
      <c r="C90" s="40" t="inlineStr">
        <is>
          <t>text</t>
        </is>
      </c>
      <c r="D90" s="40" t="inlineStr">
        <is>
          <t>required</t>
        </is>
      </c>
      <c r="E90" s="40" t="n"/>
      <c r="F90" s="40" t="inlineStr">
        <is>
          <t>1 to 400 characters</t>
        </is>
      </c>
      <c r="G90" s="40" t="inlineStr">
        <is>
          <t>11.1.1</t>
        </is>
      </c>
      <c r="H90" s="40" t="inlineStr">
        <is>
          <t>Test method</t>
        </is>
      </c>
      <c r="I90" s="40" t="inlineStr">
        <is>
          <t>SEC-11</t>
        </is>
      </c>
      <c r="J90" s="40" t="inlineStr">
        <is>
          <t>Test method: one text value, required; rule: 1 to 400 characters.</t>
        </is>
      </c>
    </row>
    <row r="91">
      <c r="A91" s="40" t="inlineStr">
        <is>
          <t>nfr</t>
        </is>
      </c>
      <c r="B91" s="40" t="inlineStr">
        <is>
          <t>measured_by</t>
        </is>
      </c>
      <c r="C91" s="40" t="inlineStr">
        <is>
          <t>enum</t>
        </is>
      </c>
      <c r="D91" s="40" t="inlineStr">
        <is>
          <t>required</t>
        </is>
      </c>
      <c r="E91" s="40" t="n"/>
      <c r="F91" s="40" t="inlineStr">
        <is>
          <t>list: MeasuredBy</t>
        </is>
      </c>
      <c r="G91" s="40" t="inlineStr">
        <is>
          <t>11.1.2</t>
        </is>
      </c>
      <c r="H91" s="40" t="inlineStr">
        <is>
          <t>Measured by</t>
        </is>
      </c>
      <c r="I91" s="40" t="inlineStr">
        <is>
          <t>SEC-11</t>
        </is>
      </c>
      <c r="J91" s="40" t="inlineStr">
        <is>
          <t>Measured by: one enum value, required; rule: list: MeasuredBy.</t>
        </is>
      </c>
    </row>
    <row r="92">
      <c r="A92" s="40" t="inlineStr">
        <is>
          <t>nfr</t>
        </is>
      </c>
      <c r="B92" s="40" t="inlineStr">
        <is>
          <t>evidence_reference</t>
        </is>
      </c>
      <c r="C92" s="40" t="inlineStr">
        <is>
          <t>text</t>
        </is>
      </c>
      <c r="D92" s="40" t="inlineStr">
        <is>
          <t>optional</t>
        </is>
      </c>
      <c r="E92" s="40" t="n"/>
      <c r="F92" s="40" t="inlineStr">
        <is>
          <t>0 to 300 characters</t>
        </is>
      </c>
      <c r="G92" s="40" t="inlineStr">
        <is>
          <t>11.1.3</t>
        </is>
      </c>
      <c r="H92" s="40" t="inlineStr">
        <is>
          <t>Evidence reference</t>
        </is>
      </c>
      <c r="I92" s="40" t="inlineStr">
        <is>
          <t>SEC-11</t>
        </is>
      </c>
      <c r="J92" s="40" t="inlineStr">
        <is>
          <t>Evidence reference: one text value, optional; rule: 0 to 300 characters.</t>
        </is>
      </c>
    </row>
    <row r="93">
      <c r="A93" s="40" t="inlineStr">
        <is>
          <t>nfr</t>
        </is>
      </c>
      <c r="B93" s="40" t="inlineStr">
        <is>
          <t>derived_from</t>
        </is>
      </c>
      <c r="C93" s="40" t="inlineStr">
        <is>
          <t>enum</t>
        </is>
      </c>
      <c r="D93" s="40" t="inlineStr">
        <is>
          <t>required</t>
        </is>
      </c>
      <c r="E93" s="40" t="n"/>
      <c r="F93" s="40" t="inlineStr">
        <is>
          <t>list: DerivedFrom</t>
        </is>
      </c>
      <c r="G93" s="40" t="inlineStr">
        <is>
          <t>12.1.1</t>
        </is>
      </c>
      <c r="H93" s="40" t="inlineStr">
        <is>
          <t>Derived from</t>
        </is>
      </c>
      <c r="I93" s="40" t="inlineStr">
        <is>
          <t>SEC-12</t>
        </is>
      </c>
      <c r="J93" s="40" t="inlineStr">
        <is>
          <t>Derived from: one enum value, required; rule: list: DerivedFrom.</t>
        </is>
      </c>
    </row>
    <row r="94">
      <c r="A94" s="40" t="inlineStr">
        <is>
          <t>nfr</t>
        </is>
      </c>
      <c r="B94" s="40" t="inlineStr">
        <is>
          <t>volume_basis</t>
        </is>
      </c>
      <c r="C94" s="40" t="inlineStr">
        <is>
          <t>text</t>
        </is>
      </c>
      <c r="D94" s="40" t="inlineStr">
        <is>
          <t>conditional</t>
        </is>
      </c>
      <c r="E94" s="40" t="n"/>
      <c r="F94" s="40" t="inlineStr">
        <is>
          <t>required when derived from Volumes</t>
        </is>
      </c>
      <c r="G94" s="40" t="inlineStr">
        <is>
          <t>12.1.2</t>
        </is>
      </c>
      <c r="H94" s="40" t="inlineStr">
        <is>
          <t>Volume basis</t>
        </is>
      </c>
      <c r="I94" s="40" t="inlineStr">
        <is>
          <t>SEC-12</t>
        </is>
      </c>
      <c r="J94" s="40" t="inlineStr">
        <is>
          <t>Volume basis: one text value, conditional; rule: required when derived from Volumes.</t>
        </is>
      </c>
    </row>
    <row r="95">
      <c r="A95" s="40" t="inlineStr">
        <is>
          <t>nfr</t>
        </is>
      </c>
      <c r="B95" s="40" t="inlineStr">
        <is>
          <t>regulation_name</t>
        </is>
      </c>
      <c r="C95" s="40" t="inlineStr">
        <is>
          <t>text</t>
        </is>
      </c>
      <c r="D95" s="40" t="inlineStr">
        <is>
          <t>conditional</t>
        </is>
      </c>
      <c r="E95" s="40" t="n"/>
      <c r="F95" s="40" t="inlineStr">
        <is>
          <t>required when derived from Regulation</t>
        </is>
      </c>
      <c r="G95" s="40" t="inlineStr">
        <is>
          <t>12.2.1</t>
        </is>
      </c>
      <c r="H95" s="40" t="inlineStr">
        <is>
          <t>Regulation</t>
        </is>
      </c>
      <c r="I95" s="40" t="inlineStr">
        <is>
          <t>SEC-12</t>
        </is>
      </c>
      <c r="J95" s="40" t="inlineStr">
        <is>
          <t>Regulation: one text value, conditional; rule: required when derived from Regulation.</t>
        </is>
      </c>
    </row>
    <row r="96">
      <c r="A96" s="40" t="inlineStr">
        <is>
          <t>nfr</t>
        </is>
      </c>
      <c r="B96" s="40" t="inlineStr">
        <is>
          <t>our_status</t>
        </is>
      </c>
      <c r="C96" s="40" t="inlineStr">
        <is>
          <t>enum</t>
        </is>
      </c>
      <c r="D96" s="40" t="inlineStr">
        <is>
          <t>required</t>
        </is>
      </c>
      <c r="E96" s="40" t="n"/>
      <c r="F96" s="40" t="inlineStr">
        <is>
          <t>list: NfrStatus</t>
        </is>
      </c>
      <c r="G96" s="40" t="inlineStr">
        <is>
          <t>13.1.1</t>
        </is>
      </c>
      <c r="H96" s="40" t="inlineStr">
        <is>
          <t>Our status</t>
        </is>
      </c>
      <c r="I96" s="40" t="inlineStr">
        <is>
          <t>SEC-13</t>
        </is>
      </c>
      <c r="J96" s="40" t="inlineStr">
        <is>
          <t>Our status: one enum value, required; rule: list: NfrStatus.</t>
        </is>
      </c>
    </row>
    <row r="97">
      <c r="A97" s="40" t="inlineStr">
        <is>
          <t>nfr</t>
        </is>
      </c>
      <c r="B97" s="40" t="inlineStr">
        <is>
          <t>status_detail</t>
        </is>
      </c>
      <c r="C97" s="40" t="inlineStr">
        <is>
          <t>text</t>
        </is>
      </c>
      <c r="D97" s="40" t="inlineStr">
        <is>
          <t>optional</t>
        </is>
      </c>
      <c r="E97" s="40" t="n"/>
      <c r="F97" s="40" t="inlineStr">
        <is>
          <t>0 to 400 characters</t>
        </is>
      </c>
      <c r="G97" s="40" t="inlineStr">
        <is>
          <t>13.1.2</t>
        </is>
      </c>
      <c r="H97" s="40" t="inlineStr">
        <is>
          <t>Status detail</t>
        </is>
      </c>
      <c r="I97" s="40" t="inlineStr">
        <is>
          <t>SEC-13</t>
        </is>
      </c>
      <c r="J97" s="40" t="inlineStr">
        <is>
          <t>Status detail: one text value, optional; rule: 0 to 400 characters.</t>
        </is>
      </c>
    </row>
    <row r="98">
      <c r="A98" s="40" t="inlineStr">
        <is>
          <t>nfr</t>
        </is>
      </c>
      <c r="B98" s="40" t="inlineStr">
        <is>
          <t>study_id</t>
        </is>
      </c>
      <c r="C98" s="40" t="inlineStr">
        <is>
          <t>id</t>
        </is>
      </c>
      <c r="D98" s="40" t="inlineStr">
        <is>
          <t>required</t>
        </is>
      </c>
      <c r="E98" s="40" t="inlineStr">
        <is>
          <t>Foreign key</t>
        </is>
      </c>
      <c r="F98" s="40" t="inlineStr">
        <is>
          <t>an existing study_id</t>
        </is>
      </c>
      <c r="G98" s="40" t="n"/>
      <c r="H98" s="40" t="inlineStr">
        <is>
          <t>Key link to the study</t>
        </is>
      </c>
      <c r="I98" s="40" t="inlineStr">
        <is>
          <t>Key link</t>
        </is>
      </c>
      <c r="J98" s="40" t="inlineStr">
        <is>
          <t>Key link to the study.</t>
        </is>
      </c>
    </row>
    <row r="99">
      <c r="A99" s="40" t="inlineStr">
        <is>
          <t>requirement</t>
        </is>
      </c>
      <c r="B99" s="40" t="inlineStr">
        <is>
          <t>requirement_id</t>
        </is>
      </c>
      <c r="C99" s="40" t="inlineStr">
        <is>
          <t>id</t>
        </is>
      </c>
      <c r="D99" s="40" t="inlineStr">
        <is>
          <t>required</t>
        </is>
      </c>
      <c r="E99" s="40" t="inlineStr">
        <is>
          <t>Primary key</t>
        </is>
      </c>
      <c r="F99" s="40" t="inlineStr">
        <is>
          <t>unique, pattern FR-xnn</t>
        </is>
      </c>
      <c r="G99" s="40" t="inlineStr">
        <is>
          <t>14.1.1</t>
        </is>
      </c>
      <c r="H99" s="40" t="inlineStr">
        <is>
          <t>Requirement id</t>
        </is>
      </c>
      <c r="I99" s="40" t="inlineStr">
        <is>
          <t>SEC-14</t>
        </is>
      </c>
      <c r="J99" s="40" t="inlineStr">
        <is>
          <t>Requirement id: one id value, required; rule: unique, pattern FR-xnn.</t>
        </is>
      </c>
    </row>
    <row r="100">
      <c r="A100" s="40" t="inlineStr">
        <is>
          <t>requirement</t>
        </is>
      </c>
      <c r="B100" s="40" t="inlineStr">
        <is>
          <t>module</t>
        </is>
      </c>
      <c r="C100" s="40" t="inlineStr">
        <is>
          <t>text</t>
        </is>
      </c>
      <c r="D100" s="40" t="inlineStr">
        <is>
          <t>required</t>
        </is>
      </c>
      <c r="E100" s="40" t="n"/>
      <c r="F100" s="40" t="inlineStr">
        <is>
          <t>1 to 60 characters</t>
        </is>
      </c>
      <c r="G100" s="40" t="inlineStr">
        <is>
          <t>14.1.2</t>
        </is>
      </c>
      <c r="H100" s="40" t="inlineStr">
        <is>
          <t>Module</t>
        </is>
      </c>
      <c r="I100" s="40" t="inlineStr">
        <is>
          <t>SEC-14</t>
        </is>
      </c>
      <c r="J100" s="40" t="inlineStr">
        <is>
          <t>Module: one text value, required; rule: 1 to 60 characters.</t>
        </is>
      </c>
    </row>
    <row r="101">
      <c r="A101" s="40" t="inlineStr">
        <is>
          <t>requirement</t>
        </is>
      </c>
      <c r="B101" s="40" t="inlineStr">
        <is>
          <t>requirement_statement</t>
        </is>
      </c>
      <c r="C101" s="40" t="inlineStr">
        <is>
          <t>text</t>
        </is>
      </c>
      <c r="D101" s="40" t="inlineStr">
        <is>
          <t>required</t>
        </is>
      </c>
      <c r="E101" s="40" t="n"/>
      <c r="F101" s="40" t="inlineStr">
        <is>
          <t>1 to 500 characters</t>
        </is>
      </c>
      <c r="G101" s="40" t="inlineStr">
        <is>
          <t>14.1.3</t>
        </is>
      </c>
      <c r="H101" s="40" t="inlineStr">
        <is>
          <t>Requirement statement</t>
        </is>
      </c>
      <c r="I101" s="40" t="inlineStr">
        <is>
          <t>SEC-14</t>
        </is>
      </c>
      <c r="J101" s="40" t="inlineStr">
        <is>
          <t>Requirement statement: one text value, required; rule: 1 to 500 characters.</t>
        </is>
      </c>
    </row>
    <row r="102">
      <c r="A102" s="40" t="inlineStr">
        <is>
          <t>requirement</t>
        </is>
      </c>
      <c r="B102" s="40" t="inlineStr">
        <is>
          <t>source_type</t>
        </is>
      </c>
      <c r="C102" s="40" t="inlineStr">
        <is>
          <t>enum</t>
        </is>
      </c>
      <c r="D102" s="40" t="inlineStr">
        <is>
          <t>required</t>
        </is>
      </c>
      <c r="E102" s="40" t="n"/>
      <c r="F102" s="40" t="inlineStr">
        <is>
          <t>list: ReqSource</t>
        </is>
      </c>
      <c r="G102" s="40" t="inlineStr">
        <is>
          <t>15.1.1</t>
        </is>
      </c>
      <c r="H102" s="40" t="inlineStr">
        <is>
          <t>Source type</t>
        </is>
      </c>
      <c r="I102" s="40" t="inlineStr">
        <is>
          <t>SEC-15</t>
        </is>
      </c>
      <c r="J102" s="40" t="inlineStr">
        <is>
          <t>Source type: one enum value, required; rule: list: ReqSource.</t>
        </is>
      </c>
    </row>
    <row r="103">
      <c r="A103" s="40" t="inlineStr">
        <is>
          <t>requirement</t>
        </is>
      </c>
      <c r="B103" s="40" t="inlineStr">
        <is>
          <t>source_reference</t>
        </is>
      </c>
      <c r="C103" s="40" t="inlineStr">
        <is>
          <t>text</t>
        </is>
      </c>
      <c r="D103" s="40" t="inlineStr">
        <is>
          <t>conditional</t>
        </is>
      </c>
      <c r="E103" s="40" t="n"/>
      <c r="F103" s="40" t="inlineStr">
        <is>
          <t>required unless the source type is Not recorded</t>
        </is>
      </c>
      <c r="G103" s="40" t="inlineStr">
        <is>
          <t>15.1.2</t>
        </is>
      </c>
      <c r="H103" s="40" t="inlineStr">
        <is>
          <t>Source reference</t>
        </is>
      </c>
      <c r="I103" s="40" t="inlineStr">
        <is>
          <t>SEC-15</t>
        </is>
      </c>
      <c r="J103" s="40" t="inlineStr">
        <is>
          <t>Source reference: one text value, conditional; rule: required unless the source type is Not recorded.</t>
        </is>
      </c>
    </row>
    <row r="104">
      <c r="A104" s="40" t="inlineStr">
        <is>
          <t>requirement</t>
        </is>
      </c>
      <c r="B104" s="40" t="inlineStr">
        <is>
          <t>actor</t>
        </is>
      </c>
      <c r="C104" s="40" t="inlineStr">
        <is>
          <t>enum</t>
        </is>
      </c>
      <c r="D104" s="40" t="inlineStr">
        <is>
          <t>required</t>
        </is>
      </c>
      <c r="E104" s="40" t="n"/>
      <c r="F104" s="40" t="inlineStr">
        <is>
          <t>list: Persona</t>
        </is>
      </c>
      <c r="G104" s="40" t="inlineStr">
        <is>
          <t>15.2.1</t>
        </is>
      </c>
      <c r="H104" s="40" t="inlineStr">
        <is>
          <t>Actor</t>
        </is>
      </c>
      <c r="I104" s="40" t="inlineStr">
        <is>
          <t>SEC-15</t>
        </is>
      </c>
      <c r="J104" s="40" t="inlineStr">
        <is>
          <t>Actor: one enum value, required; rule: list: Persona.</t>
        </is>
      </c>
    </row>
    <row r="105">
      <c r="A105" s="40" t="inlineStr">
        <is>
          <t>requirement</t>
        </is>
      </c>
      <c r="B105" s="40" t="inlineStr">
        <is>
          <t>priority</t>
        </is>
      </c>
      <c r="C105" s="40" t="inlineStr">
        <is>
          <t>enum</t>
        </is>
      </c>
      <c r="D105" s="40" t="inlineStr">
        <is>
          <t>required</t>
        </is>
      </c>
      <c r="E105" s="40" t="n"/>
      <c r="F105" s="40" t="inlineStr">
        <is>
          <t>list: Class</t>
        </is>
      </c>
      <c r="G105" s="40" t="inlineStr">
        <is>
          <t>16.1.1</t>
        </is>
      </c>
      <c r="H105" s="40" t="inlineStr">
        <is>
          <t>Priority</t>
        </is>
      </c>
      <c r="I105" s="40" t="inlineStr">
        <is>
          <t>SEC-16</t>
        </is>
      </c>
      <c r="J105" s="40" t="inlineStr">
        <is>
          <t>Priority: one enum value, required; rule: list: Class.</t>
        </is>
      </c>
    </row>
    <row r="106">
      <c r="A106" s="40" t="inlineStr">
        <is>
          <t>requirement</t>
        </is>
      </c>
      <c r="B106" s="40" t="inlineStr">
        <is>
          <t>priority_basis</t>
        </is>
      </c>
      <c r="C106" s="40" t="inlineStr">
        <is>
          <t>enum</t>
        </is>
      </c>
      <c r="D106" s="40" t="inlineStr">
        <is>
          <t>required</t>
        </is>
      </c>
      <c r="E106" s="40" t="n"/>
      <c r="F106" s="40" t="inlineStr">
        <is>
          <t>list: PriorityBasis</t>
        </is>
      </c>
      <c r="G106" s="40" t="inlineStr">
        <is>
          <t>16.1.2</t>
        </is>
      </c>
      <c r="H106" s="40" t="inlineStr">
        <is>
          <t>Priority basis</t>
        </is>
      </c>
      <c r="I106" s="40" t="inlineStr">
        <is>
          <t>SEC-16</t>
        </is>
      </c>
      <c r="J106" s="40" t="inlineStr">
        <is>
          <t>Priority basis: one enum value, required; rule: list: PriorityBasis.</t>
        </is>
      </c>
    </row>
    <row r="107">
      <c r="A107" s="40" t="inlineStr">
        <is>
          <t>requirement</t>
        </is>
      </c>
      <c r="B107" s="40" t="inlineStr">
        <is>
          <t>ambiguity_note</t>
        </is>
      </c>
      <c r="C107" s="40" t="inlineStr">
        <is>
          <t>text</t>
        </is>
      </c>
      <c r="D107" s="40" t="inlineStr">
        <is>
          <t>optional</t>
        </is>
      </c>
      <c r="E107" s="40" t="n"/>
      <c r="F107" s="40" t="inlineStr">
        <is>
          <t>0 to 400 characters</t>
        </is>
      </c>
      <c r="G107" s="40" t="inlineStr">
        <is>
          <t>16.2.1</t>
        </is>
      </c>
      <c r="H107" s="40" t="inlineStr">
        <is>
          <t>Ambiguity note</t>
        </is>
      </c>
      <c r="I107" s="40" t="inlineStr">
        <is>
          <t>SEC-16</t>
        </is>
      </c>
      <c r="J107" s="40" t="inlineStr">
        <is>
          <t>Ambiguity note: one text value, optional; rule: 0 to 400 characters.</t>
        </is>
      </c>
    </row>
    <row r="108">
      <c r="A108" s="40" t="inlineStr">
        <is>
          <t>requirement</t>
        </is>
      </c>
      <c r="B108" s="40" t="inlineStr">
        <is>
          <t>our_status</t>
        </is>
      </c>
      <c r="C108" s="40" t="inlineStr">
        <is>
          <t>enum</t>
        </is>
      </c>
      <c r="D108" s="40" t="inlineStr">
        <is>
          <t>required</t>
        </is>
      </c>
      <c r="E108" s="40" t="n"/>
      <c r="F108" s="40" t="inlineStr">
        <is>
          <t>list: ReqStatus</t>
        </is>
      </c>
      <c r="G108" s="40" t="inlineStr">
        <is>
          <t>17.1.1</t>
        </is>
      </c>
      <c r="H108" s="40" t="inlineStr">
        <is>
          <t>Our status</t>
        </is>
      </c>
      <c r="I108" s="40" t="inlineStr">
        <is>
          <t>SEC-17</t>
        </is>
      </c>
      <c r="J108" s="40" t="inlineStr">
        <is>
          <t>Our status: one enum value, required; rule: list: ReqStatus.</t>
        </is>
      </c>
    </row>
    <row r="109">
      <c r="A109" s="40" t="inlineStr">
        <is>
          <t>requirement</t>
        </is>
      </c>
      <c r="B109" s="40" t="inlineStr">
        <is>
          <t>status_detail</t>
        </is>
      </c>
      <c r="C109" s="40" t="inlineStr">
        <is>
          <t>text</t>
        </is>
      </c>
      <c r="D109" s="40" t="inlineStr">
        <is>
          <t>optional</t>
        </is>
      </c>
      <c r="E109" s="40" t="n"/>
      <c r="F109" s="40" t="inlineStr">
        <is>
          <t>0 to 400 characters</t>
        </is>
      </c>
      <c r="G109" s="40" t="inlineStr">
        <is>
          <t>17.1.2</t>
        </is>
      </c>
      <c r="H109" s="40" t="inlineStr">
        <is>
          <t>Status detail</t>
        </is>
      </c>
      <c r="I109" s="40" t="inlineStr">
        <is>
          <t>SEC-17</t>
        </is>
      </c>
      <c r="J109" s="40" t="inlineStr">
        <is>
          <t>Status detail: one text value, optional; rule: 0 to 400 characters.</t>
        </is>
      </c>
    </row>
    <row r="110">
      <c r="A110" s="40" t="inlineStr">
        <is>
          <t>requirement</t>
        </is>
      </c>
      <c r="B110" s="40" t="inlineStr">
        <is>
          <t>evidence_reference</t>
        </is>
      </c>
      <c r="C110" s="40" t="inlineStr">
        <is>
          <t>text</t>
        </is>
      </c>
      <c r="D110" s="40" t="inlineStr">
        <is>
          <t>optional</t>
        </is>
      </c>
      <c r="E110" s="40" t="n"/>
      <c r="F110" s="40" t="inlineStr">
        <is>
          <t>0 to 500 characters</t>
        </is>
      </c>
      <c r="G110" s="40" t="inlineStr">
        <is>
          <t>17.1.3</t>
        </is>
      </c>
      <c r="H110" s="40" t="inlineStr">
        <is>
          <t>Evidence reference</t>
        </is>
      </c>
      <c r="I110" s="40" t="inlineStr">
        <is>
          <t>SEC-17</t>
        </is>
      </c>
      <c r="J110" s="40" t="inlineStr">
        <is>
          <t>Evidence reference: one text value, optional; rule: 0 to 500 characters.</t>
        </is>
      </c>
    </row>
    <row r="111">
      <c r="A111" s="40" t="inlineStr">
        <is>
          <t>requirement</t>
        </is>
      </c>
      <c r="B111" s="40" t="inlineStr">
        <is>
          <t>tables_used</t>
        </is>
      </c>
      <c r="C111" s="40" t="inlineStr">
        <is>
          <t>text</t>
        </is>
      </c>
      <c r="D111" s="40" t="inlineStr">
        <is>
          <t>optional</t>
        </is>
      </c>
      <c r="E111" s="40" t="n"/>
      <c r="F111" s="40" t="inlineStr">
        <is>
          <t>comma separated table names</t>
        </is>
      </c>
      <c r="G111" s="40" t="inlineStr">
        <is>
          <t>17.1.4</t>
        </is>
      </c>
      <c r="H111" s="40" t="inlineStr">
        <is>
          <t>Tables used</t>
        </is>
      </c>
      <c r="I111" s="40" t="inlineStr">
        <is>
          <t>SEC-17</t>
        </is>
      </c>
      <c r="J111" s="40" t="inlineStr">
        <is>
          <t>Tables used: one text value, optional; rule: comma separated table names.</t>
        </is>
      </c>
    </row>
    <row r="112">
      <c r="A112" s="40" t="inlineStr">
        <is>
          <t>scope_line</t>
        </is>
      </c>
      <c r="B112" s="40" t="inlineStr">
        <is>
          <t>scope_id</t>
        </is>
      </c>
      <c r="C112" s="40" t="inlineStr">
        <is>
          <t>id</t>
        </is>
      </c>
      <c r="D112" s="40" t="inlineStr">
        <is>
          <t>required</t>
        </is>
      </c>
      <c r="E112" s="40" t="inlineStr">
        <is>
          <t>Primary key</t>
        </is>
      </c>
      <c r="F112" s="40" t="inlineStr">
        <is>
          <t>unique, pattern SC-nnn</t>
        </is>
      </c>
      <c r="G112" s="40" t="inlineStr">
        <is>
          <t>18.1.1</t>
        </is>
      </c>
      <c r="H112" s="40" t="inlineStr">
        <is>
          <t>Scope line id</t>
        </is>
      </c>
      <c r="I112" s="40" t="inlineStr">
        <is>
          <t>SEC-18</t>
        </is>
      </c>
      <c r="J112" s="40" t="inlineStr">
        <is>
          <t>Scope line id: one id value, required; rule: unique, pattern SC-nnn.</t>
        </is>
      </c>
    </row>
    <row r="113">
      <c r="A113" s="40" t="inlineStr">
        <is>
          <t>scope_line</t>
        </is>
      </c>
      <c r="B113" s="40" t="inlineStr">
        <is>
          <t>line_type</t>
        </is>
      </c>
      <c r="C113" s="40" t="inlineStr">
        <is>
          <t>enum</t>
        </is>
      </c>
      <c r="D113" s="40" t="inlineStr">
        <is>
          <t>required</t>
        </is>
      </c>
      <c r="E113" s="40" t="n"/>
      <c r="F113" s="40" t="inlineStr">
        <is>
          <t>list: LineType</t>
        </is>
      </c>
      <c r="G113" s="40" t="inlineStr">
        <is>
          <t>18.1.2</t>
        </is>
      </c>
      <c r="H113" s="40" t="inlineStr">
        <is>
          <t>Line type</t>
        </is>
      </c>
      <c r="I113" s="40" t="inlineStr">
        <is>
          <t>SEC-18</t>
        </is>
      </c>
      <c r="J113" s="40" t="inlineStr">
        <is>
          <t>Line type: one enum value, required; rule: list: LineType.</t>
        </is>
      </c>
    </row>
    <row r="114">
      <c r="A114" s="40" t="inlineStr">
        <is>
          <t>scope_line</t>
        </is>
      </c>
      <c r="B114" s="40" t="inlineStr">
        <is>
          <t>statement</t>
        </is>
      </c>
      <c r="C114" s="40" t="inlineStr">
        <is>
          <t>text</t>
        </is>
      </c>
      <c r="D114" s="40" t="inlineStr">
        <is>
          <t>required</t>
        </is>
      </c>
      <c r="E114" s="40" t="n"/>
      <c r="F114" s="40" t="inlineStr">
        <is>
          <t>1 to 500 characters</t>
        </is>
      </c>
      <c r="G114" s="40" t="inlineStr">
        <is>
          <t>18.1.3</t>
        </is>
      </c>
      <c r="H114" s="40" t="inlineStr">
        <is>
          <t>Statement</t>
        </is>
      </c>
      <c r="I114" s="40" t="inlineStr">
        <is>
          <t>SEC-18</t>
        </is>
      </c>
      <c r="J114" s="40" t="inlineStr">
        <is>
          <t>Statement: one text value, required; rule: 1 to 500 characters.</t>
        </is>
      </c>
    </row>
    <row r="115">
      <c r="A115" s="40" t="inlineStr">
        <is>
          <t>scope_line</t>
        </is>
      </c>
      <c r="B115" s="40" t="inlineStr">
        <is>
          <t>maps_to_requirement</t>
        </is>
      </c>
      <c r="C115" s="40" t="inlineStr">
        <is>
          <t>reference</t>
        </is>
      </c>
      <c r="D115" s="40" t="inlineStr">
        <is>
          <t>optional</t>
        </is>
      </c>
      <c r="E115" s="40" t="n"/>
      <c r="F115" s="40" t="inlineStr">
        <is>
          <t>an existing requirement_id</t>
        </is>
      </c>
      <c r="G115" s="40" t="inlineStr">
        <is>
          <t>18.2.1</t>
        </is>
      </c>
      <c r="H115" s="40" t="inlineStr">
        <is>
          <t>Maps to requirement</t>
        </is>
      </c>
      <c r="I115" s="40" t="inlineStr">
        <is>
          <t>SEC-18</t>
        </is>
      </c>
      <c r="J115" s="40" t="inlineStr">
        <is>
          <t>Maps to requirement: one reference value, optional; rule: an existing requirement_id.</t>
        </is>
      </c>
    </row>
    <row r="116">
      <c r="A116" s="40" t="inlineStr">
        <is>
          <t>scope_line</t>
        </is>
      </c>
      <c r="B116" s="40" t="inlineStr">
        <is>
          <t>scope_source</t>
        </is>
      </c>
      <c r="C116" s="40" t="inlineStr">
        <is>
          <t>text</t>
        </is>
      </c>
      <c r="D116" s="40" t="inlineStr">
        <is>
          <t>required</t>
        </is>
      </c>
      <c r="E116" s="40" t="n"/>
      <c r="F116" s="40" t="inlineStr">
        <is>
          <t>1 to 200 characters</t>
        </is>
      </c>
      <c r="G116" s="40" t="inlineStr">
        <is>
          <t>18.2.2</t>
        </is>
      </c>
      <c r="H116" s="40" t="inlineStr">
        <is>
          <t>Source reference</t>
        </is>
      </c>
      <c r="I116" s="40" t="inlineStr">
        <is>
          <t>SEC-18</t>
        </is>
      </c>
      <c r="J116" s="40" t="inlineStr">
        <is>
          <t>Source reference: one text value, required; rule: 1 to 200 characters.</t>
        </is>
      </c>
    </row>
    <row r="117">
      <c r="A117" s="40" t="inlineStr">
        <is>
          <t>requirement</t>
        </is>
      </c>
      <c r="B117" s="40" t="inlineStr">
        <is>
          <t>study_id</t>
        </is>
      </c>
      <c r="C117" s="40" t="inlineStr">
        <is>
          <t>id</t>
        </is>
      </c>
      <c r="D117" s="40" t="inlineStr">
        <is>
          <t>required</t>
        </is>
      </c>
      <c r="E117" s="40" t="inlineStr">
        <is>
          <t>Foreign key</t>
        </is>
      </c>
      <c r="F117" s="40" t="inlineStr">
        <is>
          <t>an existing study_id</t>
        </is>
      </c>
      <c r="G117" s="40" t="n"/>
      <c r="H117" s="40" t="inlineStr">
        <is>
          <t>Key link to the study</t>
        </is>
      </c>
      <c r="I117" s="40" t="inlineStr">
        <is>
          <t>Key link</t>
        </is>
      </c>
      <c r="J117" s="40" t="inlineStr">
        <is>
          <t>Key link to the study.</t>
        </is>
      </c>
    </row>
    <row r="118">
      <c r="A118" s="40" t="inlineStr">
        <is>
          <t>scope_line</t>
        </is>
      </c>
      <c r="B118" s="40" t="inlineStr">
        <is>
          <t>study_id</t>
        </is>
      </c>
      <c r="C118" s="40" t="inlineStr">
        <is>
          <t>id</t>
        </is>
      </c>
      <c r="D118" s="40" t="inlineStr">
        <is>
          <t>required</t>
        </is>
      </c>
      <c r="E118" s="40" t="inlineStr">
        <is>
          <t>Foreign key</t>
        </is>
      </c>
      <c r="F118" s="40" t="inlineStr">
        <is>
          <t>an existing study_id</t>
        </is>
      </c>
      <c r="G118" s="40" t="n"/>
      <c r="H118" s="40" t="inlineStr">
        <is>
          <t>Key link to the study</t>
        </is>
      </c>
      <c r="I118" s="40" t="inlineStr">
        <is>
          <t>Key link</t>
        </is>
      </c>
      <c r="J118" s="40" t="inlineStr">
        <is>
          <t>Key link to the study.</t>
        </is>
      </c>
    </row>
  </sheetData>
  <autoFilter ref="A1:J11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9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34" customWidth="1" min="2" max="2"/>
    <col width="60" customWidth="1" min="3" max="3"/>
    <col width="30" customWidth="1" min="4" max="4"/>
    <col width="11" customWidth="1" min="5" max="5"/>
  </cols>
  <sheetData>
    <row r="1">
      <c r="A1" s="24" t="inlineStr">
        <is>
          <t>List</t>
        </is>
      </c>
      <c r="B1" s="24" t="inlineStr">
        <is>
          <t>Value</t>
        </is>
      </c>
      <c r="C1" s="24" t="inlineStr">
        <is>
          <t>Meaning</t>
        </is>
      </c>
      <c r="D1" s="24" t="inlineStr">
        <is>
          <t>Used by sub-parameter</t>
        </is>
      </c>
      <c r="E1" s="24" t="inlineStr">
        <is>
          <t>Section ID</t>
        </is>
      </c>
    </row>
    <row r="2">
      <c r="A2" s="40" t="inlineStr">
        <is>
          <t>Stage</t>
        </is>
      </c>
      <c r="B2" s="40" t="inlineStr">
        <is>
          <t>01 Requirement analysis</t>
        </is>
      </c>
      <c r="C2" s="40" t="inlineStr">
        <is>
          <t>Stage 01: the requirement analysis docket.</t>
        </is>
      </c>
      <c r="D2" s="40" t="inlineStr">
        <is>
          <t>1.1.3 Stage</t>
        </is>
      </c>
      <c r="E2" s="40" t="inlineStr">
        <is>
          <t>SEC-01</t>
        </is>
      </c>
    </row>
    <row r="3">
      <c r="A3" s="40" t="inlineStr">
        <is>
          <t>Stage</t>
        </is>
      </c>
      <c r="B3" s="40" t="inlineStr">
        <is>
          <t>02 Stakeholder personas and roles</t>
        </is>
      </c>
      <c r="C3" s="40" t="inlineStr">
        <is>
          <t>Stage 02: who uses the product and what each role may do.</t>
        </is>
      </c>
      <c r="D3" s="40" t="n"/>
      <c r="E3" s="40" t="inlineStr">
        <is>
          <t>SEC-01</t>
        </is>
      </c>
    </row>
    <row r="4">
      <c r="A4" s="40" t="inlineStr">
        <is>
          <t>Stage</t>
        </is>
      </c>
      <c r="B4" s="40" t="inlineStr">
        <is>
          <t>03 Feature discovery</t>
        </is>
      </c>
      <c r="C4" s="40" t="inlineStr">
        <is>
          <t>Stage 03: this schema. Find what the product must do and what market leaders already do.</t>
        </is>
      </c>
      <c r="D4" s="40" t="n"/>
      <c r="E4" s="40" t="inlineStr">
        <is>
          <t>SEC-01</t>
        </is>
      </c>
    </row>
    <row r="5">
      <c r="A5" s="40" t="inlineStr">
        <is>
          <t>Stage</t>
        </is>
      </c>
      <c r="B5" s="40" t="inlineStr">
        <is>
          <t>04 Non-functional requirements</t>
        </is>
      </c>
      <c r="C5" s="40" t="inlineStr">
        <is>
          <t>Stage 04: scale, speed, security, privacy, recovery targets.</t>
        </is>
      </c>
      <c r="D5" s="40" t="n"/>
      <c r="E5" s="40" t="inlineStr">
        <is>
          <t>SEC-01</t>
        </is>
      </c>
    </row>
    <row r="6">
      <c r="A6" s="40" t="inlineStr">
        <is>
          <t>MethodType</t>
        </is>
      </c>
      <c r="B6" s="40" t="inlineStr">
        <is>
          <t>Human only</t>
        </is>
      </c>
      <c r="C6" s="40" t="inlineStr">
        <is>
          <t>Every parameter value was written by a person.</t>
        </is>
      </c>
      <c r="D6" s="40" t="inlineStr">
        <is>
          <t>1.2.1 Method type</t>
        </is>
      </c>
      <c r="E6" s="40" t="inlineStr">
        <is>
          <t>SEC-01</t>
        </is>
      </c>
    </row>
    <row r="7">
      <c r="A7" s="40" t="inlineStr">
        <is>
          <t>MethodType</t>
        </is>
      </c>
      <c r="B7" s="40" t="inlineStr">
        <is>
          <t>LLM assisted</t>
        </is>
      </c>
      <c r="C7" s="40" t="inlineStr">
        <is>
          <t>A language model proposed values and a person checked every one.</t>
        </is>
      </c>
      <c r="D7" s="40" t="n"/>
      <c r="E7" s="40" t="inlineStr">
        <is>
          <t>SEC-01</t>
        </is>
      </c>
    </row>
    <row r="8">
      <c r="A8" s="40" t="inlineStr">
        <is>
          <t>MethodType</t>
        </is>
      </c>
      <c r="B8" s="40" t="inlineStr">
        <is>
          <t>Multi-LLM consolidated</t>
        </is>
      </c>
      <c r="C8" s="40" t="inlineStr">
        <is>
          <t>Two or more models or designers worked alone and a person consolidated the better parts.</t>
        </is>
      </c>
      <c r="D8" s="40" t="n"/>
      <c r="E8" s="40" t="inlineStr">
        <is>
          <t>SEC-01</t>
        </is>
      </c>
    </row>
    <row r="9">
      <c r="A9" s="40" t="inlineStr">
        <is>
          <t>ProductType</t>
        </is>
      </c>
      <c r="B9" s="40" t="inlineStr">
        <is>
          <t>Job portal</t>
        </is>
      </c>
      <c r="C9" s="40" t="inlineStr">
        <is>
          <t>A site where employers post jobs and candidates search and apply.</t>
        </is>
      </c>
      <c r="D9" s="40" t="inlineStr">
        <is>
          <t>2.1.3 Product type</t>
        </is>
      </c>
      <c r="E9" s="40" t="inlineStr">
        <is>
          <t>SEC-02</t>
        </is>
      </c>
    </row>
    <row r="10">
      <c r="A10" s="40" t="inlineStr">
        <is>
          <t>ProductType</t>
        </is>
      </c>
      <c r="B10" s="40" t="inlineStr">
        <is>
          <t>Professional network</t>
        </is>
      </c>
      <c r="C10" s="40" t="inlineStr">
        <is>
          <t>A social network whose members also search for jobs and people.</t>
        </is>
      </c>
      <c r="D10" s="40" t="n"/>
      <c r="E10" s="40" t="inlineStr">
        <is>
          <t>SEC-02</t>
        </is>
      </c>
    </row>
    <row r="11">
      <c r="A11" s="40" t="inlineStr">
        <is>
          <t>ProductType</t>
        </is>
      </c>
      <c r="B11" s="40" t="inlineStr">
        <is>
          <t>Campus hiring platform</t>
        </is>
      </c>
      <c r="C11" s="40" t="inlineStr">
        <is>
          <t>A platform for colleges and fresher hiring.</t>
        </is>
      </c>
      <c r="D11" s="40" t="n"/>
      <c r="E11" s="40" t="inlineStr">
        <is>
          <t>SEC-02</t>
        </is>
      </c>
    </row>
    <row r="12">
      <c r="A12" s="40" t="inlineStr">
        <is>
          <t>ProductType</t>
        </is>
      </c>
      <c r="B12" s="40" t="inlineStr">
        <is>
          <t>Other</t>
        </is>
      </c>
      <c r="C12" s="40" t="inlineStr">
        <is>
          <t>Any other kind of product. Say which in the reason studied.</t>
        </is>
      </c>
      <c r="D12" s="40" t="n"/>
      <c r="E12" s="40" t="inlineStr">
        <is>
          <t>SEC-02</t>
        </is>
      </c>
    </row>
    <row r="13">
      <c r="A13" s="40" t="inlineStr">
        <is>
          <t>Tier</t>
        </is>
      </c>
      <c r="B13" s="40" t="inlineStr">
        <is>
          <t>Leader</t>
        </is>
      </c>
      <c r="C13" s="40" t="inlineStr">
        <is>
          <t>A studied market leader. It counts in the classification rule.</t>
        </is>
      </c>
      <c r="D13" s="40" t="inlineStr">
        <is>
          <t>2.1.4 Tier</t>
        </is>
      </c>
      <c r="E13" s="40" t="inlineStr">
        <is>
          <t>SEC-02</t>
        </is>
      </c>
    </row>
    <row r="14">
      <c r="A14" s="40" t="inlineStr">
        <is>
          <t>Tier</t>
        </is>
      </c>
      <c r="B14" s="40" t="inlineStr">
        <is>
          <t>Specialist</t>
        </is>
      </c>
      <c r="C14" s="40" t="inlineStr">
        <is>
          <t>A leader in one scope only (for example campus). It counts only for that scope.</t>
        </is>
      </c>
      <c r="D14" s="40" t="n"/>
      <c r="E14" s="40" t="inlineStr">
        <is>
          <t>SEC-02</t>
        </is>
      </c>
    </row>
    <row r="15">
      <c r="A15" s="40" t="inlineStr">
        <is>
          <t>Tier</t>
        </is>
      </c>
      <c r="B15" s="40" t="inlineStr">
        <is>
          <t>Reference</t>
        </is>
      </c>
      <c r="C15" s="40" t="inlineStr">
        <is>
          <t>Studied for ideas. It does not count in the classification rule.</t>
        </is>
      </c>
      <c r="D15" s="40" t="n"/>
      <c r="E15" s="40" t="inlineStr">
        <is>
          <t>SEC-02</t>
        </is>
      </c>
    </row>
    <row r="16">
      <c r="A16" s="40" t="inlineStr">
        <is>
          <t>StudyScope</t>
        </is>
      </c>
      <c r="B16" s="40" t="inlineStr">
        <is>
          <t>General</t>
        </is>
      </c>
      <c r="C16" s="40" t="inlineStr">
        <is>
          <t>Studied for general features.</t>
        </is>
      </c>
      <c r="D16" s="40" t="inlineStr">
        <is>
          <t>2.2.1 Scope</t>
        </is>
      </c>
      <c r="E16" s="40" t="inlineStr">
        <is>
          <t>SEC-02</t>
        </is>
      </c>
    </row>
    <row r="17">
      <c r="A17" s="40" t="inlineStr">
        <is>
          <t>StudyScope</t>
        </is>
      </c>
      <c r="B17" s="40" t="inlineStr">
        <is>
          <t>Campus</t>
        </is>
      </c>
      <c r="C17" s="40" t="inlineStr">
        <is>
          <t>Studied for campus features only.</t>
        </is>
      </c>
      <c r="D17" s="40" t="n"/>
      <c r="E17" s="40" t="inlineStr">
        <is>
          <t>SEC-02</t>
        </is>
      </c>
    </row>
    <row r="18">
      <c r="A18" s="40" t="inlineStr">
        <is>
          <t>PageAccess</t>
        </is>
      </c>
      <c r="B18" s="40" t="inlineStr">
        <is>
          <t>Read</t>
        </is>
      </c>
      <c r="C18" s="40" t="inlineStr">
        <is>
          <t>The page was opened and read.</t>
        </is>
      </c>
      <c r="D18" s="40" t="inlineStr">
        <is>
          <t>2.2.3 Access level</t>
        </is>
      </c>
      <c r="E18" s="40" t="inlineStr">
        <is>
          <t>SEC-02</t>
        </is>
      </c>
    </row>
    <row r="19">
      <c r="A19" s="40" t="inlineStr">
        <is>
          <t>PageAccess</t>
        </is>
      </c>
      <c r="B19" s="40" t="inlineStr">
        <is>
          <t>Search summary only</t>
        </is>
      </c>
      <c r="C19" s="40" t="inlineStr">
        <is>
          <t>Only a search-engine summary of the page could be read.</t>
        </is>
      </c>
      <c r="D19" s="40" t="n"/>
      <c r="E19" s="40" t="inlineStr">
        <is>
          <t>SEC-02</t>
        </is>
      </c>
    </row>
    <row r="20">
      <c r="A20" s="40" t="inlineStr">
        <is>
          <t>PageAccess</t>
        </is>
      </c>
      <c r="B20" s="40" t="inlineStr">
        <is>
          <t>Not readable</t>
        </is>
      </c>
      <c r="C20" s="40" t="inlineStr">
        <is>
          <t>The page refused download or could not be read.</t>
        </is>
      </c>
      <c r="D20" s="40" t="n"/>
      <c r="E20" s="40" t="inlineStr">
        <is>
          <t>SEC-02</t>
        </is>
      </c>
    </row>
    <row r="21">
      <c r="A21" s="40" t="inlineStr">
        <is>
          <t>EvidenceStatus</t>
        </is>
      </c>
      <c r="B21" s="40" t="inlineStr">
        <is>
          <t>Public</t>
        </is>
      </c>
      <c r="C21" s="40" t="inlineStr">
        <is>
          <t>Checked on a public page of the product.</t>
        </is>
      </c>
      <c r="D21" s="40" t="inlineStr">
        <is>
          <t>2.3.2 Evidence status; 4.2.2 Evidence status; 7.2.2 Evidence status</t>
        </is>
      </c>
      <c r="E21" s="40" t="inlineStr">
        <is>
          <t>SEC-02</t>
        </is>
      </c>
    </row>
    <row r="22">
      <c r="A22" s="40" t="inlineStr">
        <is>
          <t>EvidenceStatus</t>
        </is>
      </c>
      <c r="B22" s="40" t="inlineStr">
        <is>
          <t>Known</t>
        </is>
      </c>
      <c r="C22" s="40" t="inlineStr">
        <is>
          <t>General knowledge, not checked on the live product.</t>
        </is>
      </c>
      <c r="D22" s="40" t="n"/>
      <c r="E22" s="40" t="inlineStr">
        <is>
          <t>SEC-02</t>
        </is>
      </c>
    </row>
    <row r="23">
      <c r="A23" s="40" t="inlineStr">
        <is>
          <t>EvidenceStatus</t>
        </is>
      </c>
      <c r="B23" s="40" t="inlineStr">
        <is>
          <t>Mixed</t>
        </is>
      </c>
      <c r="C23" s="40" t="inlineStr">
        <is>
          <t>Some cells Public and some Known.</t>
        </is>
      </c>
      <c r="D23" s="40" t="n"/>
      <c r="E23" s="40" t="inlineStr">
        <is>
          <t>SEC-02</t>
        </is>
      </c>
    </row>
    <row r="24">
      <c r="A24" s="40" t="inlineStr">
        <is>
          <t>EvidenceStatus</t>
        </is>
      </c>
      <c r="B24" s="40" t="inlineStr">
        <is>
          <t>Own design</t>
        </is>
      </c>
      <c r="C24" s="40" t="inlineStr">
        <is>
          <t>No competitor claim; our own design.</t>
        </is>
      </c>
      <c r="D24" s="40" t="n"/>
      <c r="E24" s="40" t="inlineStr">
        <is>
          <t>SEC-02</t>
        </is>
      </c>
    </row>
    <row r="25">
      <c r="A25" s="40" t="inlineStr">
        <is>
          <t>EvidenceStatus</t>
        </is>
      </c>
      <c r="B25" s="40" t="inlineStr">
        <is>
          <t>Search summary only</t>
        </is>
      </c>
      <c r="C25" s="40" t="inlineStr">
        <is>
          <t>Only a search-result summary of the page was seen</t>
        </is>
      </c>
      <c r="D25" s="40" t="inlineStr"/>
      <c r="E25" s="40" t="inlineStr">
        <is>
          <t>SEC-02</t>
        </is>
      </c>
    </row>
    <row r="26">
      <c r="A26" s="40" t="inlineStr">
        <is>
          <t>EvidenceStatus</t>
        </is>
      </c>
      <c r="B26" s="40" t="inlineStr">
        <is>
          <t>Verification log</t>
        </is>
      </c>
      <c r="C26" s="40" t="inlineStr">
        <is>
          <t>Taken from the verification log; not marked per row</t>
        </is>
      </c>
      <c r="D26" s="40" t="inlineStr"/>
      <c r="E26" s="40" t="inlineStr">
        <is>
          <t>SEC-02</t>
        </is>
      </c>
    </row>
    <row r="27">
      <c r="A27" s="40" t="inlineStr">
        <is>
          <t>EvidenceStatus</t>
        </is>
      </c>
      <c r="B27" s="40" t="inlineStr">
        <is>
          <t>Gap table</t>
        </is>
      </c>
      <c r="C27" s="40" t="inlineStr">
        <is>
          <t>Taken from the gap table; not marked per row</t>
        </is>
      </c>
      <c r="D27" s="40" t="inlineStr"/>
      <c r="E27" s="40" t="inlineStr">
        <is>
          <t>SEC-02</t>
        </is>
      </c>
    </row>
    <row r="28">
      <c r="A28" s="40" t="inlineStr">
        <is>
          <t>FeatureLevel</t>
        </is>
      </c>
      <c r="B28" s="40" t="inlineStr">
        <is>
          <t>Feature</t>
        </is>
      </c>
      <c r="C28" s="40" t="inlineStr">
        <is>
          <t>Something a user can see or do. It is compared with competitors.</t>
        </is>
      </c>
      <c r="D28" s="40" t="inlineStr">
        <is>
          <t>3.1.3 Feature level</t>
        </is>
      </c>
      <c r="E28" s="40" t="inlineStr">
        <is>
          <t>SEC-03</t>
        </is>
      </c>
    </row>
    <row r="29">
      <c r="A29" s="40" t="inlineStr">
        <is>
          <t>FeatureLevel</t>
        </is>
      </c>
      <c r="B29" s="40" t="inlineStr">
        <is>
          <t>Capability</t>
        </is>
      </c>
      <c r="C29" s="40" t="inlineStr">
        <is>
          <t>One requirement inside a feature that has several. It inherits the feature's class, matrix cells and verdict.</t>
        </is>
      </c>
      <c r="D29" s="40" t="n"/>
      <c r="E29" s="40" t="inlineStr">
        <is>
          <t>SEC-03</t>
        </is>
      </c>
    </row>
    <row r="30">
      <c r="A30" s="40" t="inlineStr">
        <is>
          <t>Category</t>
        </is>
      </c>
      <c r="B30" s="40" t="inlineStr">
        <is>
          <t>Profile</t>
        </is>
      </c>
      <c r="C30" s="40" t="inlineStr">
        <is>
          <t>The candidate's data: identity, skills, history, documents, visibility.</t>
        </is>
      </c>
      <c r="D30" s="40" t="inlineStr">
        <is>
          <t>3.2.2 Category</t>
        </is>
      </c>
      <c r="E30" s="40" t="inlineStr">
        <is>
          <t>SEC-03</t>
        </is>
      </c>
    </row>
    <row r="31">
      <c r="A31" s="40" t="inlineStr">
        <is>
          <t>Category</t>
        </is>
      </c>
      <c r="B31" s="40" t="inlineStr">
        <is>
          <t>Search</t>
        </is>
      </c>
      <c r="C31" s="40" t="inlineStr">
        <is>
          <t>Finding candidates or jobs by filters or keywords.</t>
        </is>
      </c>
      <c r="D31" s="40" t="n"/>
      <c r="E31" s="40" t="inlineStr">
        <is>
          <t>SEC-03</t>
        </is>
      </c>
    </row>
    <row r="32">
      <c r="A32" s="40" t="inlineStr">
        <is>
          <t>Category</t>
        </is>
      </c>
      <c r="B32" s="40" t="inlineStr">
        <is>
          <t>Jobs</t>
        </is>
      </c>
      <c r="C32" s="40" t="inlineStr">
        <is>
          <t>Posting and managing job requirements.</t>
        </is>
      </c>
      <c r="D32" s="40" t="n"/>
      <c r="E32" s="40" t="inlineStr">
        <is>
          <t>SEC-03</t>
        </is>
      </c>
    </row>
    <row r="33">
      <c r="A33" s="40" t="inlineStr">
        <is>
          <t>Category</t>
        </is>
      </c>
      <c r="B33" s="40" t="inlineStr">
        <is>
          <t>Applications</t>
        </is>
      </c>
      <c r="C33" s="40" t="inlineStr">
        <is>
          <t>Applying, the pipeline of statuses, withdrawing.</t>
        </is>
      </c>
      <c r="D33" s="40" t="n"/>
      <c r="E33" s="40" t="inlineStr">
        <is>
          <t>SEC-03</t>
        </is>
      </c>
    </row>
    <row r="34">
      <c r="A34" s="40" t="inlineStr">
        <is>
          <t>Category</t>
        </is>
      </c>
      <c r="B34" s="40" t="inlineStr">
        <is>
          <t>Hiring workflow</t>
        </is>
      </c>
      <c r="C34" s="40" t="inlineStr">
        <is>
          <t>Shortlists, interviews, offers, joining.</t>
        </is>
      </c>
      <c r="D34" s="40" t="n"/>
      <c r="E34" s="40" t="inlineStr">
        <is>
          <t>SEC-03</t>
        </is>
      </c>
    </row>
    <row r="35">
      <c r="A35" s="40" t="inlineStr">
        <is>
          <t>Category</t>
        </is>
      </c>
      <c r="B35" s="40" t="inlineStr">
        <is>
          <t>Consultants and sourcing</t>
        </is>
      </c>
      <c r="C35" s="40" t="inlineStr">
        <is>
          <t>Consultant requests, submissions, outreach.</t>
        </is>
      </c>
      <c r="D35" s="40" t="n"/>
      <c r="E35" s="40" t="inlineStr">
        <is>
          <t>SEC-03</t>
        </is>
      </c>
    </row>
    <row r="36">
      <c r="A36" s="40" t="inlineStr">
        <is>
          <t>Category</t>
        </is>
      </c>
      <c r="B36" s="40" t="inlineStr">
        <is>
          <t>Campus</t>
        </is>
      </c>
      <c r="C36" s="40" t="inlineStr">
        <is>
          <t>Campus drives and fresher hiring.</t>
        </is>
      </c>
      <c r="D36" s="40" t="n"/>
      <c r="E36" s="40" t="inlineStr">
        <is>
          <t>SEC-03</t>
        </is>
      </c>
    </row>
    <row r="37">
      <c r="A37" s="40" t="inlineStr">
        <is>
          <t>Category</t>
        </is>
      </c>
      <c r="B37" s="40" t="inlineStr">
        <is>
          <t>Gig</t>
        </is>
      </c>
      <c r="C37" s="40" t="inlineStr">
        <is>
          <t>Short assignments, bids and fulfilment.</t>
        </is>
      </c>
      <c r="D37" s="40" t="n"/>
      <c r="E37" s="40" t="inlineStr">
        <is>
          <t>SEC-03</t>
        </is>
      </c>
    </row>
    <row r="38">
      <c r="A38" s="40" t="inlineStr">
        <is>
          <t>Category</t>
        </is>
      </c>
      <c r="B38" s="40" t="inlineStr">
        <is>
          <t>Licences, subscriptions and wallet</t>
        </is>
      </c>
      <c r="C38" s="40" t="inlineStr">
        <is>
          <t>Seats, devices, plans, credits, payments, downloads.</t>
        </is>
      </c>
      <c r="D38" s="40" t="n"/>
      <c r="E38" s="40" t="inlineStr">
        <is>
          <t>SEC-03</t>
        </is>
      </c>
    </row>
    <row r="39">
      <c r="A39" s="40" t="inlineStr">
        <is>
          <t>Category</t>
        </is>
      </c>
      <c r="B39" s="40" t="inlineStr">
        <is>
          <t>Notifications and community</t>
        </is>
      </c>
      <c r="C39" s="40" t="inlineStr">
        <is>
          <t>Messages, preferences, posts and moderation.</t>
        </is>
      </c>
      <c r="D39" s="40" t="n"/>
      <c r="E39" s="40" t="inlineStr">
        <is>
          <t>SEC-03</t>
        </is>
      </c>
    </row>
    <row r="40">
      <c r="A40" s="40" t="inlineStr">
        <is>
          <t>Category</t>
        </is>
      </c>
      <c r="B40" s="40" t="inlineStr">
        <is>
          <t>Analytics</t>
        </is>
      </c>
      <c r="C40" s="40" t="inlineStr">
        <is>
          <t>Reports and marts built from the live data.</t>
        </is>
      </c>
      <c r="D40" s="40" t="n"/>
      <c r="E40" s="40" t="inlineStr">
        <is>
          <t>SEC-03</t>
        </is>
      </c>
    </row>
    <row r="41">
      <c r="A41" s="40" t="inlineStr">
        <is>
          <t>Category</t>
        </is>
      </c>
      <c r="B41" s="40" t="inlineStr">
        <is>
          <t>Organisation and admin</t>
        </is>
      </c>
      <c r="C41" s="40" t="inlineStr">
        <is>
          <t>Organisations, memberships, roles, consent, blocking, credentials.</t>
        </is>
      </c>
      <c r="D41" s="40" t="n"/>
      <c r="E41" s="40" t="inlineStr">
        <is>
          <t>SEC-03</t>
        </is>
      </c>
    </row>
    <row r="42">
      <c r="A42" s="40" t="inlineStr">
        <is>
          <t>Category</t>
        </is>
      </c>
      <c r="B42" s="40" t="inlineStr">
        <is>
          <t>Privacy and security</t>
        </is>
      </c>
      <c r="C42" s="40" t="inlineStr">
        <is>
          <t>Access control, audit, erasure, sensitive data, retention.</t>
        </is>
      </c>
      <c r="D42" s="40" t="n"/>
      <c r="E42" s="40" t="inlineStr">
        <is>
          <t>SEC-03</t>
        </is>
      </c>
    </row>
    <row r="43">
      <c r="A43" s="40" t="inlineStr">
        <is>
          <t>Category</t>
        </is>
      </c>
      <c r="B43" s="40" t="inlineStr">
        <is>
          <t>Platform and scale</t>
        </is>
      </c>
      <c r="C43" s="40" t="inlineStr">
        <is>
          <t>Partitioning, performance, recovery, data quality, reproducibility.</t>
        </is>
      </c>
      <c r="D43" s="40" t="n"/>
      <c r="E43" s="40" t="inlineStr">
        <is>
          <t>SEC-03</t>
        </is>
      </c>
    </row>
    <row r="44">
      <c r="A44" s="40" t="inlineStr">
        <is>
          <t>Persona</t>
        </is>
      </c>
      <c r="B44" s="40" t="inlineStr">
        <is>
          <t>Candidate</t>
        </is>
      </c>
      <c r="C44" s="40" t="inlineStr">
        <is>
          <t>A person looking for a job.</t>
        </is>
      </c>
      <c r="D44" s="40" t="inlineStr">
        <is>
          <t>3.2.3 Persona; 7.3.3 Persona affected</t>
        </is>
      </c>
      <c r="E44" s="40" t="inlineStr">
        <is>
          <t>SEC-03</t>
        </is>
      </c>
    </row>
    <row r="45">
      <c r="A45" s="40" t="inlineStr">
        <is>
          <t>Persona</t>
        </is>
      </c>
      <c r="B45" s="40" t="inlineStr">
        <is>
          <t>Recruiter</t>
        </is>
      </c>
      <c r="C45" s="40" t="inlineStr">
        <is>
          <t>A person who hires for an employer.</t>
        </is>
      </c>
      <c r="D45" s="40" t="n"/>
      <c r="E45" s="40" t="inlineStr">
        <is>
          <t>SEC-03</t>
        </is>
      </c>
    </row>
    <row r="46">
      <c r="A46" s="40" t="inlineStr">
        <is>
          <t>Persona</t>
        </is>
      </c>
      <c r="B46" s="40" t="inlineStr">
        <is>
          <t>Hiring manager</t>
        </is>
      </c>
      <c r="C46" s="40" t="inlineStr">
        <is>
          <t>The manager who owns the vacancy.</t>
        </is>
      </c>
      <c r="D46" s="40" t="n"/>
      <c r="E46" s="40" t="inlineStr">
        <is>
          <t>SEC-03</t>
        </is>
      </c>
    </row>
    <row r="47">
      <c r="A47" s="40" t="inlineStr">
        <is>
          <t>Persona</t>
        </is>
      </c>
      <c r="B47" s="40" t="inlineStr">
        <is>
          <t>Organisation administrator</t>
        </is>
      </c>
      <c r="C47" s="40" t="inlineStr">
        <is>
          <t>The person who runs an employer's account.</t>
        </is>
      </c>
      <c r="D47" s="40" t="n"/>
      <c r="E47" s="40" t="inlineStr">
        <is>
          <t>SEC-03</t>
        </is>
      </c>
    </row>
    <row r="48">
      <c r="A48" s="40" t="inlineStr">
        <is>
          <t>Persona</t>
        </is>
      </c>
      <c r="B48" s="40" t="inlineStr">
        <is>
          <t>Consultant</t>
        </is>
      </c>
      <c r="C48" s="40" t="inlineStr">
        <is>
          <t>A freelance recruiter who sources candidates.</t>
        </is>
      </c>
      <c r="D48" s="40" t="n"/>
      <c r="E48" s="40" t="inlineStr">
        <is>
          <t>SEC-03</t>
        </is>
      </c>
    </row>
    <row r="49">
      <c r="A49" s="40" t="inlineStr">
        <is>
          <t>Persona</t>
        </is>
      </c>
      <c r="B49" s="40" t="inlineStr">
        <is>
          <t>Gig worker</t>
        </is>
      </c>
      <c r="C49" s="40" t="inlineStr">
        <is>
          <t>A person taking short paid tasks.</t>
        </is>
      </c>
      <c r="D49" s="40" t="n"/>
      <c r="E49" s="40" t="inlineStr">
        <is>
          <t>SEC-03</t>
        </is>
      </c>
    </row>
    <row r="50">
      <c r="A50" s="40" t="inlineStr">
        <is>
          <t>Persona</t>
        </is>
      </c>
      <c r="B50" s="40" t="inlineStr">
        <is>
          <t>Placement officer</t>
        </is>
      </c>
      <c r="C50" s="40" t="inlineStr">
        <is>
          <t>A college officer who runs campus hiring.</t>
        </is>
      </c>
      <c r="D50" s="40" t="n"/>
      <c r="E50" s="40" t="inlineStr">
        <is>
          <t>SEC-03</t>
        </is>
      </c>
    </row>
    <row r="51">
      <c r="A51" s="40" t="inlineStr">
        <is>
          <t>Persona</t>
        </is>
      </c>
      <c r="B51" s="40" t="inlineStr">
        <is>
          <t>Platform administrator</t>
        </is>
      </c>
      <c r="C51" s="40" t="inlineStr">
        <is>
          <t>A person who runs the platform itself.</t>
        </is>
      </c>
      <c r="D51" s="40" t="n"/>
      <c r="E51" s="40" t="inlineStr">
        <is>
          <t>SEC-03</t>
        </is>
      </c>
    </row>
    <row r="52">
      <c r="A52" s="40" t="inlineStr">
        <is>
          <t>Persona</t>
        </is>
      </c>
      <c r="B52" s="40" t="inlineStr">
        <is>
          <t>Platform operator</t>
        </is>
      </c>
      <c r="C52" s="40" t="inlineStr">
        <is>
          <t>The team that operates the service.</t>
        </is>
      </c>
      <c r="D52" s="40" t="n"/>
      <c r="E52" s="40" t="inlineStr">
        <is>
          <t>SEC-03</t>
        </is>
      </c>
    </row>
    <row r="53">
      <c r="A53" s="40" t="inlineStr">
        <is>
          <t>Persona</t>
        </is>
      </c>
      <c r="B53" s="40" t="inlineStr">
        <is>
          <t>Compliance and privacy officer</t>
        </is>
      </c>
      <c r="C53" s="40" t="inlineStr">
        <is>
          <t>The person who checks privacy and legal rules.</t>
        </is>
      </c>
      <c r="D53" s="40" t="n"/>
      <c r="E53" s="40" t="inlineStr">
        <is>
          <t>SEC-03</t>
        </is>
      </c>
    </row>
    <row r="54">
      <c r="A54" s="40" t="inlineStr">
        <is>
          <t>Persona</t>
        </is>
      </c>
      <c r="B54" s="40" t="inlineStr">
        <is>
          <t>Data analyst</t>
        </is>
      </c>
      <c r="C54" s="40" t="inlineStr">
        <is>
          <t>A person who reads reports and marts.</t>
        </is>
      </c>
      <c r="D54" s="40" t="n"/>
      <c r="E54" s="40" t="inlineStr">
        <is>
          <t>SEC-03</t>
        </is>
      </c>
    </row>
    <row r="55">
      <c r="A55" s="40" t="inlineStr">
        <is>
          <t>Persona</t>
        </is>
      </c>
      <c r="B55" s="40" t="inlineStr">
        <is>
          <t>Integration service</t>
        </is>
      </c>
      <c r="C55" s="40" t="inlineStr">
        <is>
          <t>A system that talks to the platform.</t>
        </is>
      </c>
      <c r="D55" s="40" t="n"/>
      <c r="E55" s="40" t="inlineStr">
        <is>
          <t>SEC-03</t>
        </is>
      </c>
    </row>
    <row r="56">
      <c r="A56" s="40" t="inlineStr">
        <is>
          <t>ComparisonScope</t>
        </is>
      </c>
      <c r="B56" s="40" t="inlineStr">
        <is>
          <t>General</t>
        </is>
      </c>
      <c r="C56" s="40" t="inlineStr">
        <is>
          <t>Compared with the general market leaders.</t>
        </is>
      </c>
      <c r="D56" s="40" t="inlineStr">
        <is>
          <t>3.2.4 Scope</t>
        </is>
      </c>
      <c r="E56" s="40" t="inlineStr">
        <is>
          <t>SEC-03</t>
        </is>
      </c>
    </row>
    <row r="57">
      <c r="A57" s="40" t="inlineStr">
        <is>
          <t>ComparisonScope</t>
        </is>
      </c>
      <c r="B57" s="40" t="inlineStr">
        <is>
          <t>Campus</t>
        </is>
      </c>
      <c r="C57" s="40" t="inlineStr">
        <is>
          <t>Compared with the campus product only. One leader is studied, so the class is always provisional.</t>
        </is>
      </c>
      <c r="D57" s="40" t="n"/>
      <c r="E57" s="40" t="inlineStr">
        <is>
          <t>SEC-03</t>
        </is>
      </c>
    </row>
    <row r="58">
      <c r="A58" s="40" t="inlineStr">
        <is>
          <t>ComparisonScope</t>
        </is>
      </c>
      <c r="B58" s="40" t="inlineStr">
        <is>
          <t>Not observable</t>
        </is>
      </c>
      <c r="C58" s="40" t="inlineStr">
        <is>
          <t>Competitors do not show it to users (for example internal design), so no comparison claim is made.</t>
        </is>
      </c>
      <c r="D58" s="40" t="n"/>
      <c r="E58" s="40" t="inlineStr">
        <is>
          <t>SEC-03</t>
        </is>
      </c>
    </row>
    <row r="59">
      <c r="A59" s="40" t="inlineStr">
        <is>
          <t>SourceType</t>
        </is>
      </c>
      <c r="B59" s="40" t="inlineStr">
        <is>
          <t>Competitor register</t>
        </is>
      </c>
      <c r="C59" s="40" t="inlineStr">
        <is>
          <t>A row of the competitor coverage register.</t>
        </is>
      </c>
      <c r="D59" s="40" t="inlineStr">
        <is>
          <t>3.3.1 Source type</t>
        </is>
      </c>
      <c r="E59" s="40" t="inlineStr">
        <is>
          <t>SEC-03</t>
        </is>
      </c>
    </row>
    <row r="60">
      <c r="A60" s="40" t="inlineStr">
        <is>
          <t>SourceType</t>
        </is>
      </c>
      <c r="B60" s="40" t="inlineStr">
        <is>
          <t>Gap table</t>
        </is>
      </c>
      <c r="C60" s="40" t="inlineStr">
        <is>
          <t>A row of the register's gap table (a competitor has it, we may not).</t>
        </is>
      </c>
      <c r="D60" s="40" t="n"/>
      <c r="E60" s="40" t="inlineStr">
        <is>
          <t>SEC-03</t>
        </is>
      </c>
    </row>
    <row r="61">
      <c r="A61" s="40" t="inlineStr">
        <is>
          <t>SourceType</t>
        </is>
      </c>
      <c r="B61" s="40" t="inlineStr">
        <is>
          <t>Verification log</t>
        </is>
      </c>
      <c r="C61" s="40" t="inlineStr">
        <is>
          <t>A line of a verification log for one competitor.</t>
        </is>
      </c>
      <c r="D61" s="40" t="n"/>
      <c r="E61" s="40" t="inlineStr">
        <is>
          <t>SEC-03</t>
        </is>
      </c>
    </row>
    <row r="62">
      <c r="A62" s="40" t="inlineStr">
        <is>
          <t>SourceType</t>
        </is>
      </c>
      <c r="B62" s="40" t="inlineStr">
        <is>
          <t>Functional requirement</t>
        </is>
      </c>
      <c r="C62" s="40" t="inlineStr">
        <is>
          <t>A functional requirement of the requirements docket.</t>
        </is>
      </c>
      <c r="D62" s="40" t="n"/>
      <c r="E62" s="40" t="inlineStr">
        <is>
          <t>SEC-03</t>
        </is>
      </c>
    </row>
    <row r="63">
      <c r="A63" s="40" t="inlineStr">
        <is>
          <t>SourceType</t>
        </is>
      </c>
      <c r="B63" s="40" t="inlineStr">
        <is>
          <t>Domain primer</t>
        </is>
      </c>
      <c r="C63" s="40" t="inlineStr">
        <is>
          <t>A business idea described in the domain primer.</t>
        </is>
      </c>
      <c r="D63" s="40" t="n"/>
      <c r="E63" s="40" t="inlineStr">
        <is>
          <t>SEC-03</t>
        </is>
      </c>
    </row>
    <row r="64">
      <c r="A64" s="40" t="inlineStr">
        <is>
          <t>SourceType</t>
        </is>
      </c>
      <c r="B64" s="40" t="inlineStr">
        <is>
          <t>Own insight</t>
        </is>
      </c>
      <c r="C64" s="40" t="inlineStr">
        <is>
          <t>An idea of the team that no source row states. It must say why it matters.</t>
        </is>
      </c>
      <c r="D64" s="40" t="n"/>
      <c r="E64" s="40" t="inlineStr">
        <is>
          <t>SEC-03</t>
        </is>
      </c>
    </row>
    <row r="65">
      <c r="A65" s="40" t="inlineStr">
        <is>
          <t>ScopeDecision</t>
        </is>
      </c>
      <c r="B65" s="40" t="inlineStr">
        <is>
          <t>Keep</t>
        </is>
      </c>
      <c r="C65" s="40" t="inlineStr">
        <is>
          <t>The feature stays in Talentra's scope.</t>
        </is>
      </c>
      <c r="D65" s="40" t="inlineStr">
        <is>
          <t>3.4.1 Scope decision</t>
        </is>
      </c>
      <c r="E65" s="40" t="inlineStr">
        <is>
          <t>SEC-03</t>
        </is>
      </c>
    </row>
    <row r="66">
      <c r="A66" s="40" t="inlineStr">
        <is>
          <t>ScopeDecision</t>
        </is>
      </c>
      <c r="B66" s="40" t="inlineStr">
        <is>
          <t>Defer</t>
        </is>
      </c>
      <c r="C66" s="40" t="inlineStr">
        <is>
          <t>Wanted, but not in this round. A reason and a revisit point are stated.</t>
        </is>
      </c>
      <c r="D66" s="40" t="n"/>
      <c r="E66" s="40" t="inlineStr">
        <is>
          <t>SEC-03</t>
        </is>
      </c>
    </row>
    <row r="67">
      <c r="A67" s="40" t="inlineStr">
        <is>
          <t>ScopeDecision</t>
        </is>
      </c>
      <c r="B67" s="40" t="inlineStr">
        <is>
          <t>Drop</t>
        </is>
      </c>
      <c r="C67" s="40" t="inlineStr">
        <is>
          <t>Will not be built. The reason is stated and the feature stays in the inventory as a record.</t>
        </is>
      </c>
      <c r="D67" s="40" t="n"/>
      <c r="E67" s="40" t="inlineStr">
        <is>
          <t>SEC-03</t>
        </is>
      </c>
    </row>
    <row r="68">
      <c r="A68" s="40" t="inlineStr">
        <is>
          <t>Class</t>
        </is>
      </c>
      <c r="B68" s="40" t="inlineStr">
        <is>
          <t>MUST-HAVE</t>
        </is>
      </c>
      <c r="C68" s="40" t="inlineStr">
        <is>
          <t>Every studied leader offers it (Yes or Partial). For features the leaders do not show: the brief or a recorded rule demands it, with a citation.</t>
        </is>
      </c>
      <c r="D68" s="40" t="inlineStr">
        <is>
          <t>4.1.1 Classification</t>
        </is>
      </c>
      <c r="E68" s="40" t="inlineStr">
        <is>
          <t>SEC-04</t>
        </is>
      </c>
    </row>
    <row r="69">
      <c r="A69" s="40" t="inlineStr">
        <is>
          <t>Class</t>
        </is>
      </c>
      <c r="B69" s="40" t="inlineStr">
        <is>
          <t>SHOULD-HAVE</t>
        </is>
      </c>
      <c r="C69" s="40" t="inlineStr">
        <is>
          <t>At least one leader offers it or could (some cells Not verified) but not all are known to. Supporting capabilities not compared with competitors are also SHOULD-HAVE.</t>
        </is>
      </c>
      <c r="D69" s="40" t="n"/>
      <c r="E69" s="40" t="inlineStr">
        <is>
          <t>SEC-04</t>
        </is>
      </c>
    </row>
    <row r="70">
      <c r="A70" s="40" t="inlineStr">
        <is>
          <t>Class</t>
        </is>
      </c>
      <c r="B70" s="40" t="inlineStr">
        <is>
          <t>DIFFERENTIATOR</t>
        </is>
      </c>
      <c r="C70" s="40" t="inlineStr">
        <is>
          <t>At most one leader offers it, even if every Not verified cell turned out to be Yes (offering plus not verified is 1 or less). For campus: no leader offers it.</t>
        </is>
      </c>
      <c r="D70" s="40" t="n"/>
      <c r="E70" s="40" t="inlineStr">
        <is>
          <t>SEC-04</t>
        </is>
      </c>
    </row>
    <row r="71">
      <c r="A71" s="40" t="inlineStr">
        <is>
          <t>ClassBasis</t>
        </is>
      </c>
      <c r="B71" s="40" t="inlineStr">
        <is>
          <t>Competitor matrix rule</t>
        </is>
      </c>
      <c r="C71" s="40" t="inlineStr">
        <is>
          <t>The class follows from the matrix by the class rules.</t>
        </is>
      </c>
      <c r="D71" s="40" t="inlineStr">
        <is>
          <t>4.1.2 Class basis</t>
        </is>
      </c>
      <c r="E71" s="40" t="inlineStr">
        <is>
          <t>SEC-04</t>
        </is>
      </c>
    </row>
    <row r="72">
      <c r="A72" s="40" t="inlineStr">
        <is>
          <t>ClassBasis</t>
        </is>
      </c>
      <c r="B72" s="40" t="inlineStr">
        <is>
          <t>Brief demands</t>
        </is>
      </c>
      <c r="C72" s="40" t="inlineStr">
        <is>
          <t>A cited decision or document in the repository says the brief demands it.</t>
        </is>
      </c>
      <c r="D72" s="40" t="n"/>
      <c r="E72" s="40" t="inlineStr">
        <is>
          <t>SEC-04</t>
        </is>
      </c>
    </row>
    <row r="73">
      <c r="A73" s="40" t="inlineStr">
        <is>
          <t>ClassBasis</t>
        </is>
      </c>
      <c r="B73" s="40" t="inlineStr">
        <is>
          <t>Recorded rule</t>
        </is>
      </c>
      <c r="C73" s="40" t="inlineStr">
        <is>
          <t>A cited non-functional requirement or team decision demands it.</t>
        </is>
      </c>
      <c r="D73" s="40" t="n"/>
      <c r="E73" s="40" t="inlineStr">
        <is>
          <t>SEC-04</t>
        </is>
      </c>
    </row>
    <row r="74">
      <c r="A74" s="40" t="inlineStr">
        <is>
          <t>ClassBasis</t>
        </is>
      </c>
      <c r="B74" s="40" t="inlineStr">
        <is>
          <t>Supporting capability</t>
        </is>
      </c>
      <c r="C74" s="40" t="inlineStr">
        <is>
          <t>Not compared with competitors. Classed SHOULD-HAVE by declaration.</t>
        </is>
      </c>
      <c r="D74" s="40" t="n"/>
      <c r="E74" s="40" t="inlineStr">
        <is>
          <t>SEC-04</t>
        </is>
      </c>
    </row>
    <row r="75">
      <c r="A75" s="40" t="inlineStr">
        <is>
          <t>ClassBasis</t>
        </is>
      </c>
      <c r="B75" s="40" t="inlineStr">
        <is>
          <t>Declared market-wide</t>
        </is>
      </c>
      <c r="C75" s="40" t="inlineStr">
        <is>
          <t>Declared a differentiator because the market-wide feature is not shown by the studied leaders; the reason says why.</t>
        </is>
      </c>
      <c r="D75" s="40" t="n"/>
      <c r="E75" s="40" t="inlineStr">
        <is>
          <t>SEC-04</t>
        </is>
      </c>
    </row>
    <row r="76">
      <c r="A76" s="40" t="inlineStr">
        <is>
          <t>ClassBasis</t>
        </is>
      </c>
      <c r="B76" s="40" t="inlineStr">
        <is>
          <t>Inherited from parent feature</t>
        </is>
      </c>
      <c r="C76" s="40" t="inlineStr">
        <is>
          <t>A capability takes the class of its parent feature</t>
        </is>
      </c>
      <c r="D76" s="40" t="inlineStr"/>
      <c r="E76" s="40" t="inlineStr">
        <is>
          <t>SEC-04</t>
        </is>
      </c>
    </row>
    <row r="77">
      <c r="A77" s="40" t="inlineStr">
        <is>
          <t>ClassBasis</t>
        </is>
      </c>
      <c r="B77" s="40" t="inlineStr">
        <is>
          <t>Domain primer</t>
        </is>
      </c>
      <c r="C77" s="40" t="inlineStr">
        <is>
          <t>A hiring line the platform serves; not compared with competitors</t>
        </is>
      </c>
      <c r="D77" s="40" t="inlineStr"/>
      <c r="E77" s="40" t="inlineStr">
        <is>
          <t>SEC-04</t>
        </is>
      </c>
    </row>
    <row r="78">
      <c r="A78" s="40" t="inlineStr">
        <is>
          <t>Confidence</t>
        </is>
      </c>
      <c r="B78" s="40" t="inlineStr">
        <is>
          <t>Firm</t>
        </is>
      </c>
      <c r="C78" s="40" t="inlineStr">
        <is>
          <t>Every studied cell for the feature is verified. The class will not change.</t>
        </is>
      </c>
      <c r="D78" s="40" t="inlineStr">
        <is>
          <t>4.2.1 Confidence</t>
        </is>
      </c>
      <c r="E78" s="40" t="inlineStr">
        <is>
          <t>SEC-04</t>
        </is>
      </c>
    </row>
    <row r="79">
      <c r="A79" s="40" t="inlineStr">
        <is>
          <t>Confidence</t>
        </is>
      </c>
      <c r="B79" s="40" t="inlineStr">
        <is>
          <t>Provisional</t>
        </is>
      </c>
      <c r="C79" s="40" t="inlineStr">
        <is>
          <t>At least one cell is Not verified. The class may change when a person checks the live site.</t>
        </is>
      </c>
      <c r="D79" s="40" t="n"/>
      <c r="E79" s="40" t="inlineStr">
        <is>
          <t>SEC-04</t>
        </is>
      </c>
    </row>
    <row r="80">
      <c r="A80" s="40" t="inlineStr">
        <is>
          <t>Confidence</t>
        </is>
      </c>
      <c r="B80" s="40" t="inlineStr">
        <is>
          <t>Declared</t>
        </is>
      </c>
      <c r="C80" s="40" t="inlineStr">
        <is>
          <t>Not observable in competitors. The class is declared with a stated basis, not computed.</t>
        </is>
      </c>
      <c r="D80" s="40" t="n"/>
      <c r="E80" s="40" t="inlineStr">
        <is>
          <t>SEC-04</t>
        </is>
      </c>
    </row>
    <row r="81">
      <c r="A81" s="40" t="inlineStr">
        <is>
          <t>CellValue</t>
        </is>
      </c>
      <c r="B81" s="40" t="inlineStr">
        <is>
          <t>Yes</t>
        </is>
      </c>
      <c r="C81" s="40" t="inlineStr">
        <is>
          <t>The evidence says the product offers it. Counts as offering.</t>
        </is>
      </c>
      <c r="D81" s="40" t="inlineStr">
        <is>
          <t>5.2.1 Offering</t>
        </is>
      </c>
      <c r="E81" s="40" t="inlineStr">
        <is>
          <t>SEC-05</t>
        </is>
      </c>
    </row>
    <row r="82">
      <c r="A82" s="40" t="inlineStr">
        <is>
          <t>CellValue</t>
        </is>
      </c>
      <c r="B82" s="40" t="inlineStr">
        <is>
          <t>Partial</t>
        </is>
      </c>
      <c r="C82" s="40" t="inlineStr">
        <is>
          <t>Offered in a reduced or different form. Counts as offering.</t>
        </is>
      </c>
      <c r="D82" s="40" t="n"/>
      <c r="E82" s="40" t="inlineStr">
        <is>
          <t>SEC-05</t>
        </is>
      </c>
    </row>
    <row r="83">
      <c r="A83" s="40" t="inlineStr">
        <is>
          <t>CellValue</t>
        </is>
      </c>
      <c r="B83" s="40" t="inlineStr">
        <is>
          <t>No</t>
        </is>
      </c>
      <c r="C83" s="40" t="inlineStr">
        <is>
          <t>The evidence says it is absent, or it was not found on the pages checked (weaker proof). Does not count.</t>
        </is>
      </c>
      <c r="D83" s="40" t="n"/>
      <c r="E83" s="40" t="inlineStr">
        <is>
          <t>SEC-05</t>
        </is>
      </c>
    </row>
    <row r="84">
      <c r="A84" s="40" t="inlineStr">
        <is>
          <t>CellValue</t>
        </is>
      </c>
      <c r="B84" s="40" t="inlineStr">
        <is>
          <t>Not verified</t>
        </is>
      </c>
      <c r="C84" s="40" t="inlineStr">
        <is>
          <t>The evidence is general knowledge and nobody has checked the live product. Does not count as offering and may change the class.</t>
        </is>
      </c>
      <c r="D84" s="40" t="n"/>
      <c r="E84" s="40" t="inlineStr">
        <is>
          <t>SEC-05</t>
        </is>
      </c>
    </row>
    <row r="85">
      <c r="A85" s="40" t="inlineStr">
        <is>
          <t>EvidenceType</t>
        </is>
      </c>
      <c r="B85" s="40" t="inlineStr">
        <is>
          <t>Page read</t>
        </is>
      </c>
      <c r="C85" s="40" t="inlineStr">
        <is>
          <t>A page of the product that was opened and read.</t>
        </is>
      </c>
      <c r="D85" s="40" t="inlineStr">
        <is>
          <t>5.3.1 Evidence type</t>
        </is>
      </c>
      <c r="E85" s="40" t="inlineStr">
        <is>
          <t>SEC-05</t>
        </is>
      </c>
    </row>
    <row r="86">
      <c r="A86" s="40" t="inlineStr">
        <is>
          <t>EvidenceType</t>
        </is>
      </c>
      <c r="B86" s="40" t="inlineStr">
        <is>
          <t>Search summary</t>
        </is>
      </c>
      <c r="C86" s="40" t="inlineStr">
        <is>
          <t>A search-engine summary of an official page.</t>
        </is>
      </c>
      <c r="D86" s="40" t="n"/>
      <c r="E86" s="40" t="inlineStr">
        <is>
          <t>SEC-05</t>
        </is>
      </c>
    </row>
    <row r="87">
      <c r="A87" s="40" t="inlineStr">
        <is>
          <t>EvidenceType</t>
        </is>
      </c>
      <c r="B87" s="40" t="inlineStr">
        <is>
          <t>Register text</t>
        </is>
      </c>
      <c r="C87" s="40" t="inlineStr">
        <is>
          <t>Text of the competitor register row (may rest on general knowledge).</t>
        </is>
      </c>
      <c r="D87" s="40" t="n"/>
      <c r="E87" s="40" t="inlineStr">
        <is>
          <t>SEC-05</t>
        </is>
      </c>
    </row>
    <row r="88">
      <c r="A88" s="40" t="inlineStr">
        <is>
          <t>EvidenceType</t>
        </is>
      </c>
      <c r="B88" s="40" t="inlineStr">
        <is>
          <t>Repository document</t>
        </is>
      </c>
      <c r="C88" s="40" t="inlineStr">
        <is>
          <t>A document or decision in our repository.</t>
        </is>
      </c>
      <c r="D88" s="40" t="n"/>
      <c r="E88" s="40" t="inlineStr">
        <is>
          <t>SEC-05</t>
        </is>
      </c>
    </row>
    <row r="89">
      <c r="A89" s="40" t="inlineStr">
        <is>
          <t>EvidenceType</t>
        </is>
      </c>
      <c r="B89" s="40" t="inlineStr">
        <is>
          <t>Own design</t>
        </is>
      </c>
      <c r="C89" s="40" t="inlineStr">
        <is>
          <t>Our design; no competitor evidence.</t>
        </is>
      </c>
      <c r="D89" s="40" t="n"/>
      <c r="E89" s="40" t="inlineStr">
        <is>
          <t>SEC-05</t>
        </is>
      </c>
    </row>
    <row r="90">
      <c r="A90" s="40" t="inlineStr">
        <is>
          <t>OurCoverage</t>
        </is>
      </c>
      <c r="B90" s="40" t="inlineStr">
        <is>
          <t>Built and tested</t>
        </is>
      </c>
      <c r="C90" s="40" t="inlineStr">
        <is>
          <t>All its requirements are built and a test refuses a breach.</t>
        </is>
      </c>
      <c r="D90" s="40" t="inlineStr">
        <is>
          <t>5.4.1 Our coverage</t>
        </is>
      </c>
      <c r="E90" s="40" t="inlineStr">
        <is>
          <t>SEC-05</t>
        </is>
      </c>
    </row>
    <row r="91">
      <c r="A91" s="40" t="inlineStr">
        <is>
          <t>OurCoverage</t>
        </is>
      </c>
      <c r="B91" s="40" t="inlineStr">
        <is>
          <t>Built</t>
        </is>
      </c>
      <c r="C91" s="40" t="inlineStr">
        <is>
          <t>Built without a dedicated test.</t>
        </is>
      </c>
      <c r="D91" s="40" t="n"/>
      <c r="E91" s="40" t="inlineStr">
        <is>
          <t>SEC-05</t>
        </is>
      </c>
    </row>
    <row r="92">
      <c r="A92" s="40" t="inlineStr">
        <is>
          <t>OurCoverage</t>
        </is>
      </c>
      <c r="B92" s="40" t="inlineStr">
        <is>
          <t>Planned</t>
        </is>
      </c>
      <c r="C92" s="40" t="inlineStr">
        <is>
          <t>Designed for a later phase.</t>
        </is>
      </c>
      <c r="D92" s="40" t="n"/>
      <c r="E92" s="40" t="inlineStr">
        <is>
          <t>SEC-05</t>
        </is>
      </c>
    </row>
    <row r="93">
      <c r="A93" s="40" t="inlineStr">
        <is>
          <t>OurCoverage</t>
        </is>
      </c>
      <c r="B93" s="40" t="inlineStr">
        <is>
          <t>Not built</t>
        </is>
      </c>
      <c r="C93" s="40" t="inlineStr">
        <is>
          <t>No requirement yet. Usually a new insight.</t>
        </is>
      </c>
      <c r="D93" s="40" t="n"/>
      <c r="E93" s="40" t="inlineStr">
        <is>
          <t>SEC-05</t>
        </is>
      </c>
    </row>
    <row r="94">
      <c r="A94" s="40" t="inlineStr">
        <is>
          <t>OurCoverage</t>
        </is>
      </c>
      <c r="B94" s="40" t="inlineStr">
        <is>
          <t>Deliberately left out</t>
        </is>
      </c>
      <c r="C94" s="40" t="inlineStr">
        <is>
          <t>A recorded decision says it will not be built.</t>
        </is>
      </c>
      <c r="D94" s="40" t="n"/>
      <c r="E94" s="40" t="inlineStr">
        <is>
          <t>SEC-05</t>
        </is>
      </c>
    </row>
    <row r="95">
      <c r="A95" s="40" t="inlineStr">
        <is>
          <t>Verdict</t>
        </is>
      </c>
      <c r="B95" s="40" t="inlineStr">
        <is>
          <t>Matches</t>
        </is>
      </c>
      <c r="C95" s="40" t="inlineStr">
        <is>
          <t>We offer what the leaders offer.</t>
        </is>
      </c>
      <c r="D95" s="40" t="inlineStr">
        <is>
          <t>5.4.2 Verdict</t>
        </is>
      </c>
      <c r="E95" s="40" t="inlineStr">
        <is>
          <t>SEC-05</t>
        </is>
      </c>
    </row>
    <row r="96">
      <c r="A96" s="40" t="inlineStr">
        <is>
          <t>Verdict</t>
        </is>
      </c>
      <c r="B96" s="40" t="inlineStr">
        <is>
          <t>Exceeds</t>
        </is>
      </c>
      <c r="C96" s="40" t="inlineStr">
        <is>
          <t>We offer more, or better, than the studied leaders.</t>
        </is>
      </c>
      <c r="D96" s="40" t="n"/>
      <c r="E96" s="40" t="inlineStr">
        <is>
          <t>SEC-05</t>
        </is>
      </c>
    </row>
    <row r="97">
      <c r="A97" s="40" t="inlineStr">
        <is>
          <t>Verdict</t>
        </is>
      </c>
      <c r="B97" s="40" t="inlineStr">
        <is>
          <t>Falls short</t>
        </is>
      </c>
      <c r="C97" s="40" t="inlineStr">
        <is>
          <t>The leaders offer something we do not.</t>
        </is>
      </c>
      <c r="D97" s="40" t="n"/>
      <c r="E97" s="40" t="inlineStr">
        <is>
          <t>SEC-05</t>
        </is>
      </c>
    </row>
    <row r="98">
      <c r="A98" s="40" t="inlineStr">
        <is>
          <t>Verdict</t>
        </is>
      </c>
      <c r="B98" s="40" t="inlineStr">
        <is>
          <t>Planned</t>
        </is>
      </c>
      <c r="C98" s="40" t="inlineStr">
        <is>
          <t>We lack it today and have it planned.</t>
        </is>
      </c>
      <c r="D98" s="40" t="n"/>
      <c r="E98" s="40" t="inlineStr">
        <is>
          <t>SEC-05</t>
        </is>
      </c>
    </row>
    <row r="99">
      <c r="A99" s="40" t="inlineStr">
        <is>
          <t>Verdict</t>
        </is>
      </c>
      <c r="B99" s="40" t="inlineStr">
        <is>
          <t>Not compared</t>
        </is>
      </c>
      <c r="C99" s="40" t="inlineStr">
        <is>
          <t>The studied products do not show it, so no claim is made.</t>
        </is>
      </c>
      <c r="D99" s="40" t="n"/>
      <c r="E99" s="40" t="inlineStr">
        <is>
          <t>SEC-05</t>
        </is>
      </c>
    </row>
    <row r="100">
      <c r="A100" s="40" t="inlineStr">
        <is>
          <t>Relationship</t>
        </is>
      </c>
      <c r="B100" s="40" t="inlineStr">
        <is>
          <t>Implemented by</t>
        </is>
      </c>
      <c r="C100" s="40" t="inlineStr">
        <is>
          <t>The requirement, when built, delivers the feature.</t>
        </is>
      </c>
      <c r="D100" s="40" t="inlineStr">
        <is>
          <t>6.1.3 Relationship</t>
        </is>
      </c>
      <c r="E100" s="40" t="inlineStr">
        <is>
          <t>SEC-06</t>
        </is>
      </c>
    </row>
    <row r="101">
      <c r="A101" s="40" t="inlineStr">
        <is>
          <t>Relationship</t>
        </is>
      </c>
      <c r="B101" s="40" t="inlineStr">
        <is>
          <t>Related to</t>
        </is>
      </c>
      <c r="C101" s="40" t="inlineStr">
        <is>
          <t>Connected but does not deliver the feature itself.</t>
        </is>
      </c>
      <c r="D101" s="40" t="n"/>
      <c r="E101" s="40" t="inlineStr">
        <is>
          <t>SEC-06</t>
        </is>
      </c>
    </row>
    <row r="102">
      <c r="A102" s="40" t="inlineStr">
        <is>
          <t>TraceState</t>
        </is>
      </c>
      <c r="B102" s="40" t="inlineStr">
        <is>
          <t>Traced</t>
        </is>
      </c>
      <c r="C102" s="40" t="inlineStr">
        <is>
          <t>At least one Implemented-by requirement exists.</t>
        </is>
      </c>
      <c r="D102" s="40" t="inlineStr">
        <is>
          <t>6.2.1 Trace status</t>
        </is>
      </c>
      <c r="E102" s="40" t="inlineStr">
        <is>
          <t>SEC-06</t>
        </is>
      </c>
    </row>
    <row r="103">
      <c r="A103" s="40" t="inlineStr">
        <is>
          <t>TraceState</t>
        </is>
      </c>
      <c r="B103" s="40" t="inlineStr">
        <is>
          <t>New insight</t>
        </is>
      </c>
      <c r="C103" s="40" t="inlineStr">
        <is>
          <t>No requirement yet, and a new-insight record explains why one is proposed.</t>
        </is>
      </c>
      <c r="D103" s="40" t="n"/>
      <c r="E103" s="40" t="inlineStr">
        <is>
          <t>SEC-06</t>
        </is>
      </c>
    </row>
    <row r="104">
      <c r="A104" s="40" t="inlineStr">
        <is>
          <t>TraceState</t>
        </is>
      </c>
      <c r="B104" s="40" t="inlineStr">
        <is>
          <t>Unaccounted</t>
        </is>
      </c>
      <c r="C104" s="40" t="inlineStr">
        <is>
          <t>Neither. The gate fails while any feature is Unaccounted.</t>
        </is>
      </c>
      <c r="D104" s="40" t="n"/>
      <c r="E104" s="40" t="inlineStr">
        <is>
          <t>SEC-06</t>
        </is>
      </c>
    </row>
    <row r="105">
      <c r="A105" s="40" t="inlineStr">
        <is>
          <t>GapDirection</t>
        </is>
      </c>
      <c r="B105" s="40" t="inlineStr">
        <is>
          <t>Competitors lack it</t>
        </is>
      </c>
      <c r="C105" s="40" t="inlineStr">
        <is>
          <t>We have something the studied products lack.</t>
        </is>
      </c>
      <c r="D105" s="40" t="inlineStr">
        <is>
          <t>7.1.3 Gap direction</t>
        </is>
      </c>
      <c r="E105" s="40" t="inlineStr">
        <is>
          <t>SEC-07</t>
        </is>
      </c>
    </row>
    <row r="106">
      <c r="A106" s="40" t="inlineStr">
        <is>
          <t>GapDirection</t>
        </is>
      </c>
      <c r="B106" s="40" t="inlineStr">
        <is>
          <t>We lack it</t>
        </is>
      </c>
      <c r="C106" s="40" t="inlineStr">
        <is>
          <t>A studied product has something we lack or skipped.</t>
        </is>
      </c>
      <c r="D106" s="40" t="n"/>
      <c r="E106" s="40" t="inlineStr">
        <is>
          <t>SEC-07</t>
        </is>
      </c>
    </row>
    <row r="107">
      <c r="A107" s="40" t="inlineStr">
        <is>
          <t>LackNature</t>
        </is>
      </c>
      <c r="B107" s="40" t="inlineStr">
        <is>
          <t>Absent</t>
        </is>
      </c>
      <c r="C107" s="40" t="inlineStr">
        <is>
          <t>The register or page says it is not offered.</t>
        </is>
      </c>
      <c r="D107" s="40" t="inlineStr">
        <is>
          <t>7.1.4 Lack nature</t>
        </is>
      </c>
      <c r="E107" s="40" t="inlineStr">
        <is>
          <t>SEC-07</t>
        </is>
      </c>
    </row>
    <row r="108">
      <c r="A108" s="40" t="inlineStr">
        <is>
          <t>LackNature</t>
        </is>
      </c>
      <c r="B108" s="40" t="inlineStr">
        <is>
          <t>Not found on pages checked</t>
        </is>
      </c>
      <c r="C108" s="40" t="inlineStr">
        <is>
          <t>Not seen on the pages read.</t>
        </is>
      </c>
      <c r="D108" s="40" t="n"/>
      <c r="E108" s="40" t="inlineStr">
        <is>
          <t>SEC-07</t>
        </is>
      </c>
    </row>
    <row r="109">
      <c r="A109" s="40" t="inlineStr">
        <is>
          <t>LackNature</t>
        </is>
      </c>
      <c r="B109" s="40" t="inlineStr">
        <is>
          <t>Partial</t>
        </is>
      </c>
      <c r="C109" s="40" t="inlineStr">
        <is>
          <t>Offered only in a reduced form.</t>
        </is>
      </c>
      <c r="D109" s="40" t="n"/>
      <c r="E109" s="40" t="inlineStr">
        <is>
          <t>SEC-07</t>
        </is>
      </c>
    </row>
    <row r="110">
      <c r="A110" s="40" t="inlineStr">
        <is>
          <t>LackNature</t>
        </is>
      </c>
      <c r="B110" s="40" t="inlineStr">
        <is>
          <t>Not observable</t>
        </is>
      </c>
      <c r="C110" s="40" t="inlineStr">
        <is>
          <t>Cannot be seen from outside.</t>
        </is>
      </c>
      <c r="D110" s="40" t="n"/>
      <c r="E110" s="40" t="inlineStr">
        <is>
          <t>SEC-07</t>
        </is>
      </c>
    </row>
    <row r="111">
      <c r="A111" s="40" t="inlineStr">
        <is>
          <t>ReasonType</t>
        </is>
      </c>
      <c r="B111" s="40" t="inlineStr">
        <is>
          <t>Technical</t>
        </is>
      </c>
      <c r="C111" s="40" t="inlineStr">
        <is>
          <t>Hard or costly to build at their scale.</t>
        </is>
      </c>
      <c r="D111" s="40" t="inlineStr">
        <is>
          <t>7.3.1 Reason type</t>
        </is>
      </c>
      <c r="E111" s="40" t="inlineStr">
        <is>
          <t>SEC-07</t>
        </is>
      </c>
    </row>
    <row r="112">
      <c r="A112" s="40" t="inlineStr">
        <is>
          <t>ReasonType</t>
        </is>
      </c>
      <c r="B112" s="40" t="inlineStr">
        <is>
          <t>Regulatory</t>
        </is>
      </c>
      <c r="C112" s="40" t="inlineStr">
        <is>
          <t>Law or policy discourages it.</t>
        </is>
      </c>
      <c r="D112" s="40" t="n"/>
      <c r="E112" s="40" t="inlineStr">
        <is>
          <t>SEC-07</t>
        </is>
      </c>
    </row>
    <row r="113">
      <c r="A113" s="40" t="inlineStr">
        <is>
          <t>ReasonType</t>
        </is>
      </c>
      <c r="B113" s="40" t="inlineStr">
        <is>
          <t>Commercial</t>
        </is>
      </c>
      <c r="C113" s="40" t="inlineStr">
        <is>
          <t>It would reduce their revenue or conflicts with their model.</t>
        </is>
      </c>
      <c r="D113" s="40" t="n"/>
      <c r="E113" s="40" t="inlineStr">
        <is>
          <t>SEC-07</t>
        </is>
      </c>
    </row>
    <row r="114">
      <c r="A114" s="40" t="inlineStr">
        <is>
          <t>ReasonType</t>
        </is>
      </c>
      <c r="B114" s="40" t="inlineStr">
        <is>
          <t>Not their focus</t>
        </is>
      </c>
      <c r="C114" s="40" t="inlineStr">
        <is>
          <t>Outside what the product is for.</t>
        </is>
      </c>
      <c r="D114" s="40" t="n"/>
      <c r="E114" s="40" t="inlineStr">
        <is>
          <t>SEC-07</t>
        </is>
      </c>
    </row>
    <row r="115">
      <c r="A115" s="40" t="inlineStr">
        <is>
          <t>ReasonType</t>
        </is>
      </c>
      <c r="B115" s="40" t="inlineStr">
        <is>
          <t>Unknown</t>
        </is>
      </c>
      <c r="C115" s="40" t="inlineStr">
        <is>
          <t>No reason could be established. Say so.</t>
        </is>
      </c>
      <c r="D115" s="40" t="n"/>
      <c r="E115" s="40" t="inlineStr">
        <is>
          <t>SEC-07</t>
        </is>
      </c>
    </row>
    <row r="116">
      <c r="A116" s="40" t="inlineStr">
        <is>
          <t>ImpactDimension</t>
        </is>
      </c>
      <c r="B116" s="40" t="inlineStr">
        <is>
          <t>Trust and safety</t>
        </is>
      </c>
      <c r="C116" s="40" t="inlineStr">
        <is>
          <t>Protects people or data.</t>
        </is>
      </c>
      <c r="D116" s="40" t="inlineStr">
        <is>
          <t>7.3.4 Impact dimension</t>
        </is>
      </c>
      <c r="E116" s="40" t="inlineStr">
        <is>
          <t>SEC-07</t>
        </is>
      </c>
    </row>
    <row r="117">
      <c r="A117" s="40" t="inlineStr">
        <is>
          <t>ImpactDimension</t>
        </is>
      </c>
      <c r="B117" s="40" t="inlineStr">
        <is>
          <t>Cost</t>
        </is>
      </c>
      <c r="C117" s="40" t="inlineStr">
        <is>
          <t>Reduces or controls cost.</t>
        </is>
      </c>
      <c r="D117" s="40" t="n"/>
      <c r="E117" s="40" t="inlineStr">
        <is>
          <t>SEC-07</t>
        </is>
      </c>
    </row>
    <row r="118">
      <c r="A118" s="40" t="inlineStr">
        <is>
          <t>ImpactDimension</t>
        </is>
      </c>
      <c r="B118" s="40" t="inlineStr">
        <is>
          <t>Speed</t>
        </is>
      </c>
      <c r="C118" s="40" t="inlineStr">
        <is>
          <t>Saves time.</t>
        </is>
      </c>
      <c r="D118" s="40" t="n"/>
      <c r="E118" s="40" t="inlineStr">
        <is>
          <t>SEC-07</t>
        </is>
      </c>
    </row>
    <row r="119">
      <c r="A119" s="40" t="inlineStr">
        <is>
          <t>ImpactDimension</t>
        </is>
      </c>
      <c r="B119" s="40" t="inlineStr">
        <is>
          <t>Quality of match</t>
        </is>
      </c>
      <c r="C119" s="40" t="inlineStr">
        <is>
          <t>Improves who meets whom.</t>
        </is>
      </c>
      <c r="D119" s="40" t="n"/>
      <c r="E119" s="40" t="inlineStr">
        <is>
          <t>SEC-07</t>
        </is>
      </c>
    </row>
    <row r="120">
      <c r="A120" s="40" t="inlineStr">
        <is>
          <t>ImpactDimension</t>
        </is>
      </c>
      <c r="B120" s="40" t="inlineStr">
        <is>
          <t>Compliance</t>
        </is>
      </c>
      <c r="C120" s="40" t="inlineStr">
        <is>
          <t>Meets a legal or policy duty.</t>
        </is>
      </c>
      <c r="D120" s="40" t="n"/>
      <c r="E120" s="40" t="inlineStr">
        <is>
          <t>SEC-07</t>
        </is>
      </c>
    </row>
    <row r="121">
      <c r="A121" s="40" t="inlineStr">
        <is>
          <t>ImpactDimension</t>
        </is>
      </c>
      <c r="B121" s="40" t="inlineStr">
        <is>
          <t>Scale and reliability</t>
        </is>
      </c>
      <c r="C121" s="40" t="inlineStr">
        <is>
          <t>Keeps working as volume grows.</t>
        </is>
      </c>
      <c r="D121" s="40" t="n"/>
      <c r="E121" s="40" t="inlineStr">
        <is>
          <t>SEC-07</t>
        </is>
      </c>
    </row>
    <row r="122">
      <c r="A122" s="40" t="inlineStr">
        <is>
          <t>ImpactDimension</t>
        </is>
      </c>
      <c r="B122" s="40" t="inlineStr">
        <is>
          <t>Revenue</t>
        </is>
      </c>
      <c r="C122" s="40" t="inlineStr">
        <is>
          <t>Earns or protects income.</t>
        </is>
      </c>
      <c r="D122" s="40" t="n"/>
      <c r="E122" s="40" t="inlineStr">
        <is>
          <t>SEC-07</t>
        </is>
      </c>
    </row>
    <row r="123">
      <c r="A123" s="40" t="inlineStr">
        <is>
          <t>ProofType</t>
        </is>
      </c>
      <c r="B123" s="40" t="inlineStr">
        <is>
          <t>Automated test</t>
        </is>
      </c>
      <c r="C123" s="40" t="inlineStr">
        <is>
          <t>A test that refuses a breach and passes.</t>
        </is>
      </c>
      <c r="D123" s="40" t="inlineStr">
        <is>
          <t>7.4.2 Proof type</t>
        </is>
      </c>
      <c r="E123" s="40" t="inlineStr">
        <is>
          <t>SEC-07</t>
        </is>
      </c>
    </row>
    <row r="124">
      <c r="A124" s="40" t="inlineStr">
        <is>
          <t>ProofType</t>
        </is>
      </c>
      <c r="B124" s="40" t="inlineStr">
        <is>
          <t>Decision record</t>
        </is>
      </c>
      <c r="C124" s="40" t="inlineStr">
        <is>
          <t>A recorded decision.</t>
        </is>
      </c>
      <c r="D124" s="40" t="n"/>
      <c r="E124" s="40" t="inlineStr">
        <is>
          <t>SEC-07</t>
        </is>
      </c>
    </row>
    <row r="125">
      <c r="A125" s="40" t="inlineStr">
        <is>
          <t>ProofType</t>
        </is>
      </c>
      <c r="B125" s="40" t="inlineStr">
        <is>
          <t>Competitor evidence</t>
        </is>
      </c>
      <c r="C125" s="40" t="inlineStr">
        <is>
          <t>An evidence record.</t>
        </is>
      </c>
      <c r="D125" s="40" t="n"/>
      <c r="E125" s="40" t="inlineStr">
        <is>
          <t>SEC-07</t>
        </is>
      </c>
    </row>
    <row r="126">
      <c r="A126" s="40" t="inlineStr">
        <is>
          <t>ProofType</t>
        </is>
      </c>
      <c r="B126" s="40" t="inlineStr">
        <is>
          <t>Document</t>
        </is>
      </c>
      <c r="C126" s="40" t="inlineStr">
        <is>
          <t>A repository document.</t>
        </is>
      </c>
      <c r="D126" s="40" t="n"/>
      <c r="E126" s="40" t="inlineStr">
        <is>
          <t>SEC-07</t>
        </is>
      </c>
    </row>
    <row r="127">
      <c r="A127" s="40" t="inlineStr">
        <is>
          <t>Action</t>
        </is>
      </c>
      <c r="B127" s="40" t="inlineStr">
        <is>
          <t>Build next</t>
        </is>
      </c>
      <c r="C127" s="40" t="inlineStr">
        <is>
          <t>Do it in the next round.</t>
        </is>
      </c>
      <c r="D127" s="40" t="inlineStr">
        <is>
          <t>7.4.4 Action</t>
        </is>
      </c>
      <c r="E127" s="40" t="inlineStr">
        <is>
          <t>SEC-07</t>
        </is>
      </c>
    </row>
    <row r="128">
      <c r="A128" s="40" t="inlineStr">
        <is>
          <t>Action</t>
        </is>
      </c>
      <c r="B128" s="40" t="inlineStr">
        <is>
          <t>Keep</t>
        </is>
      </c>
      <c r="C128" s="40" t="inlineStr">
        <is>
          <t>Already built; keep and maintain.</t>
        </is>
      </c>
      <c r="D128" s="40" t="n"/>
      <c r="E128" s="40" t="inlineStr">
        <is>
          <t>SEC-07</t>
        </is>
      </c>
    </row>
    <row r="129">
      <c r="A129" s="40" t="inlineStr">
        <is>
          <t>Action</t>
        </is>
      </c>
      <c r="B129" s="40" t="inlineStr">
        <is>
          <t>Verify first</t>
        </is>
      </c>
      <c r="C129" s="40" t="inlineStr">
        <is>
          <t>Check the evidence on the live site before deciding.</t>
        </is>
      </c>
      <c r="D129" s="40" t="n"/>
      <c r="E129" s="40" t="inlineStr">
        <is>
          <t>SEC-07</t>
        </is>
      </c>
    </row>
    <row r="130">
      <c r="A130" s="40" t="inlineStr">
        <is>
          <t>Action</t>
        </is>
      </c>
      <c r="B130" s="40" t="inlineStr">
        <is>
          <t>Skip</t>
        </is>
      </c>
      <c r="C130" s="40" t="inlineStr">
        <is>
          <t>Do not build; reason recorded.</t>
        </is>
      </c>
      <c r="D130" s="40" t="n"/>
      <c r="E130" s="40" t="inlineStr">
        <is>
          <t>SEC-07</t>
        </is>
      </c>
    </row>
    <row r="131">
      <c r="A131" s="40" t="inlineStr">
        <is>
          <t>ReviewType</t>
        </is>
      </c>
      <c r="B131" s="40" t="inlineStr">
        <is>
          <t>Self review</t>
        </is>
      </c>
      <c r="C131" s="40" t="inlineStr">
        <is>
          <t>The author checked their own work.</t>
        </is>
      </c>
      <c r="D131" s="40" t="inlineStr">
        <is>
          <t>8.1.3 Review type</t>
        </is>
      </c>
      <c r="E131" s="40" t="inlineStr">
        <is>
          <t>SEC-08</t>
        </is>
      </c>
    </row>
    <row r="132">
      <c r="A132" s="40" t="inlineStr">
        <is>
          <t>ReviewType</t>
        </is>
      </c>
      <c r="B132" s="40" t="inlineStr">
        <is>
          <t>Peer review</t>
        </is>
      </c>
      <c r="C132" s="40" t="inlineStr">
        <is>
          <t>A teammate checked.</t>
        </is>
      </c>
      <c r="D132" s="40" t="n"/>
      <c r="E132" s="40" t="inlineStr">
        <is>
          <t>SEC-08</t>
        </is>
      </c>
    </row>
    <row r="133">
      <c r="A133" s="40" t="inlineStr">
        <is>
          <t>ReviewType</t>
        </is>
      </c>
      <c r="B133" s="40" t="inlineStr">
        <is>
          <t>Lead review</t>
        </is>
      </c>
      <c r="C133" s="40" t="inlineStr">
        <is>
          <t>The lead checked.</t>
        </is>
      </c>
      <c r="D133" s="40" t="n"/>
      <c r="E133" s="40" t="inlineStr">
        <is>
          <t>SEC-08</t>
        </is>
      </c>
    </row>
    <row r="134">
      <c r="A134" s="40" t="inlineStr">
        <is>
          <t>ReviewType</t>
        </is>
      </c>
      <c r="B134" s="40" t="inlineStr">
        <is>
          <t>Automated check</t>
        </is>
      </c>
      <c r="C134" s="40" t="inlineStr">
        <is>
          <t>A script checked.</t>
        </is>
      </c>
      <c r="D134" s="40" t="n"/>
      <c r="E134" s="40" t="inlineStr">
        <is>
          <t>SEC-08</t>
        </is>
      </c>
    </row>
    <row r="135">
      <c r="A135" s="40" t="inlineStr">
        <is>
          <t>ReviewOutcome</t>
        </is>
      </c>
      <c r="B135" s="40" t="inlineStr">
        <is>
          <t>Accepted</t>
        </is>
      </c>
      <c r="C135" s="40" t="inlineStr">
        <is>
          <t>No change needed.</t>
        </is>
      </c>
      <c r="D135" s="40" t="inlineStr">
        <is>
          <t>8.2.2 Outcome</t>
        </is>
      </c>
      <c r="E135" s="40" t="inlineStr">
        <is>
          <t>SEC-08</t>
        </is>
      </c>
    </row>
    <row r="136">
      <c r="A136" s="40" t="inlineStr">
        <is>
          <t>ReviewOutcome</t>
        </is>
      </c>
      <c r="B136" s="40" t="inlineStr">
        <is>
          <t>Accepted with changes</t>
        </is>
      </c>
      <c r="C136" s="40" t="inlineStr">
        <is>
          <t>Changed after the review.</t>
        </is>
      </c>
      <c r="D136" s="40" t="n"/>
      <c r="E136" s="40" t="inlineStr">
        <is>
          <t>SEC-08</t>
        </is>
      </c>
    </row>
    <row r="137">
      <c r="A137" s="40" t="inlineStr">
        <is>
          <t>ReviewOutcome</t>
        </is>
      </c>
      <c r="B137" s="40" t="inlineStr">
        <is>
          <t>Rejected</t>
        </is>
      </c>
      <c r="C137" s="40" t="inlineStr">
        <is>
          <t>Sent back.</t>
        </is>
      </c>
      <c r="D137" s="40" t="n"/>
      <c r="E137" s="40" t="inlineStr">
        <is>
          <t>SEC-08</t>
        </is>
      </c>
    </row>
    <row r="138">
      <c r="A138" s="40" t="inlineStr">
        <is>
          <t>NfrCategory</t>
        </is>
      </c>
      <c r="B138" s="40" t="inlineStr">
        <is>
          <t>Scale</t>
        </is>
      </c>
      <c r="C138" s="40" t="inlineStr">
        <is>
          <t>Volumes the design must hold</t>
        </is>
      </c>
      <c r="D138" s="40" t="inlineStr">
        <is>
          <t>9.1.2 Quality area</t>
        </is>
      </c>
      <c r="E138" s="40" t="inlineStr">
        <is>
          <t>SEC-09</t>
        </is>
      </c>
    </row>
    <row r="139">
      <c r="A139" s="40" t="inlineStr">
        <is>
          <t>NfrCategory</t>
        </is>
      </c>
      <c r="B139" s="40" t="inlineStr">
        <is>
          <t>Performance</t>
        </is>
      </c>
      <c r="C139" s="40" t="inlineStr">
        <is>
          <t>Speed of searches and queries</t>
        </is>
      </c>
      <c r="D139" s="40" t="inlineStr"/>
      <c r="E139" s="40" t="inlineStr">
        <is>
          <t>SEC-09</t>
        </is>
      </c>
    </row>
    <row r="140">
      <c r="A140" s="40" t="inlineStr">
        <is>
          <t>NfrCategory</t>
        </is>
      </c>
      <c r="B140" s="40" t="inlineStr">
        <is>
          <t>Availability and recovery</t>
        </is>
      </c>
      <c r="C140" s="40" t="inlineStr">
        <is>
          <t>Backups, restore, recovery target</t>
        </is>
      </c>
      <c r="D140" s="40" t="inlineStr"/>
      <c r="E140" s="40" t="inlineStr">
        <is>
          <t>SEC-09</t>
        </is>
      </c>
    </row>
    <row r="141">
      <c r="A141" s="40" t="inlineStr">
        <is>
          <t>NfrCategory</t>
        </is>
      </c>
      <c r="B141" s="40" t="inlineStr">
        <is>
          <t>Security</t>
        </is>
      </c>
      <c r="C141" s="40" t="inlineStr">
        <is>
          <t>Access, secrets, roles</t>
        </is>
      </c>
      <c r="D141" s="40" t="inlineStr"/>
      <c r="E141" s="40" t="inlineStr">
        <is>
          <t>SEC-09</t>
        </is>
      </c>
    </row>
    <row r="142">
      <c r="A142" s="40" t="inlineStr">
        <is>
          <t>NfrCategory</t>
        </is>
      </c>
      <c r="B142" s="40" t="inlineStr">
        <is>
          <t>Privacy</t>
        </is>
      </c>
      <c r="C142" s="40" t="inlineStr">
        <is>
          <t>Personal data, erasure</t>
        </is>
      </c>
      <c r="D142" s="40" t="inlineStr"/>
      <c r="E142" s="40" t="inlineStr">
        <is>
          <t>SEC-09</t>
        </is>
      </c>
    </row>
    <row r="143">
      <c r="A143" s="40" t="inlineStr">
        <is>
          <t>NfrCategory</t>
        </is>
      </c>
      <c r="B143" s="40" t="inlineStr">
        <is>
          <t>Compliance</t>
        </is>
      </c>
      <c r="C143" s="40" t="inlineStr">
        <is>
          <t>Named laws and standards</t>
        </is>
      </c>
      <c r="D143" s="40" t="inlineStr"/>
      <c r="E143" s="40" t="inlineStr">
        <is>
          <t>SEC-09</t>
        </is>
      </c>
    </row>
    <row r="144">
      <c r="A144" s="40" t="inlineStr">
        <is>
          <t>NfrCategory</t>
        </is>
      </c>
      <c r="B144" s="40" t="inlineStr">
        <is>
          <t>Accessibility</t>
        </is>
      </c>
      <c r="C144" s="40" t="inlineStr">
        <is>
          <t>Use by people with disabilities</t>
        </is>
      </c>
      <c r="D144" s="40" t="inlineStr"/>
      <c r="E144" s="40" t="inlineStr">
        <is>
          <t>SEC-09</t>
        </is>
      </c>
    </row>
    <row r="145">
      <c r="A145" s="40" t="inlineStr">
        <is>
          <t>NfrCategory</t>
        </is>
      </c>
      <c r="B145" s="40" t="inlineStr">
        <is>
          <t>Data integrity</t>
        </is>
      </c>
      <c r="C145" s="40" t="inlineStr">
        <is>
          <t>Rules the database enforces</t>
        </is>
      </c>
      <c r="D145" s="40" t="inlineStr"/>
      <c r="E145" s="40" t="inlineStr">
        <is>
          <t>SEC-09</t>
        </is>
      </c>
    </row>
    <row r="146">
      <c r="A146" s="40" t="inlineStr">
        <is>
          <t>NfrCategory</t>
        </is>
      </c>
      <c r="B146" s="40" t="inlineStr">
        <is>
          <t>Auditability</t>
        </is>
      </c>
      <c r="C146" s="40" t="inlineStr">
        <is>
          <t>Who did what and when</t>
        </is>
      </c>
      <c r="D146" s="40" t="inlineStr"/>
      <c r="E146" s="40" t="inlineStr">
        <is>
          <t>SEC-09</t>
        </is>
      </c>
    </row>
    <row r="147">
      <c r="A147" s="40" t="inlineStr">
        <is>
          <t>NfrCategory</t>
        </is>
      </c>
      <c r="B147" s="40" t="inlineStr">
        <is>
          <t>Portability</t>
        </is>
      </c>
      <c r="C147" s="40" t="inlineStr">
        <is>
          <t>Runs on several systems</t>
        </is>
      </c>
      <c r="D147" s="40" t="inlineStr"/>
      <c r="E147" s="40" t="inlineStr">
        <is>
          <t>SEC-09</t>
        </is>
      </c>
    </row>
    <row r="148">
      <c r="A148" s="40" t="inlineStr">
        <is>
          <t>NfrCategory</t>
        </is>
      </c>
      <c r="B148" s="40" t="inlineStr">
        <is>
          <t>Maintainability</t>
        </is>
      </c>
      <c r="C148" s="40" t="inlineStr">
        <is>
          <t>Ease of changing the design</t>
        </is>
      </c>
      <c r="D148" s="40" t="inlineStr"/>
      <c r="E148" s="40" t="inlineStr">
        <is>
          <t>SEC-09</t>
        </is>
      </c>
    </row>
    <row r="149">
      <c r="A149" s="40" t="inlineStr">
        <is>
          <t>NfrCategory</t>
        </is>
      </c>
      <c r="B149" s="40" t="inlineStr">
        <is>
          <t>Time and language</t>
        </is>
      </c>
      <c r="C149" s="40" t="inlineStr">
        <is>
          <t>Time zones and scripts</t>
        </is>
      </c>
      <c r="D149" s="40" t="inlineStr"/>
      <c r="E149" s="40" t="inlineStr">
        <is>
          <t>SEC-09</t>
        </is>
      </c>
    </row>
    <row r="150">
      <c r="A150" s="40" t="inlineStr">
        <is>
          <t>NfrCategory</t>
        </is>
      </c>
      <c r="B150" s="40" t="inlineStr">
        <is>
          <t>Reproducibility</t>
        </is>
      </c>
      <c r="C150" s="40" t="inlineStr">
        <is>
          <t>Rebuild and repeat</t>
        </is>
      </c>
      <c r="D150" s="40" t="inlineStr"/>
      <c r="E150" s="40" t="inlineStr">
        <is>
          <t>SEC-09</t>
        </is>
      </c>
    </row>
    <row r="151">
      <c r="A151" s="40" t="inlineStr">
        <is>
          <t>NfrCategory</t>
        </is>
      </c>
      <c r="B151" s="40" t="inlineStr">
        <is>
          <t>Quality assurance</t>
        </is>
      </c>
      <c r="C151" s="40" t="inlineStr">
        <is>
          <t>Testing</t>
        </is>
      </c>
      <c r="D151" s="40" t="inlineStr"/>
      <c r="E151" s="40" t="inlineStr">
        <is>
          <t>SEC-09</t>
        </is>
      </c>
    </row>
    <row r="152">
      <c r="A152" s="40" t="inlineStr">
        <is>
          <t>NfrCategory</t>
        </is>
      </c>
      <c r="B152" s="40" t="inlineStr">
        <is>
          <t>Review process</t>
        </is>
      </c>
      <c r="C152" s="40" t="inlineStr">
        <is>
          <t>Who approves a design</t>
        </is>
      </c>
      <c r="D152" s="40" t="inlineStr"/>
      <c r="E152" s="40" t="inlineStr">
        <is>
          <t>SEC-09</t>
        </is>
      </c>
    </row>
    <row r="153">
      <c r="A153" s="40" t="inlineStr">
        <is>
          <t>NfrCategory</t>
        </is>
      </c>
      <c r="B153" s="40" t="inlineStr">
        <is>
          <t>Data quality</t>
        </is>
      </c>
      <c r="C153" s="40" t="inlineStr">
        <is>
          <t>Only complete, valid rows are loaded</t>
        </is>
      </c>
      <c r="D153" s="40" t="inlineStr"/>
      <c r="E153" s="40" t="inlineStr">
        <is>
          <t>SEC-09</t>
        </is>
      </c>
    </row>
    <row r="154">
      <c r="A154" s="40" t="inlineStr">
        <is>
          <t>NfrCategory</t>
        </is>
      </c>
      <c r="B154" s="40" t="inlineStr">
        <is>
          <t>Concurrency</t>
        </is>
      </c>
      <c r="C154" s="40" t="inlineStr">
        <is>
          <t>Correct results when many users act at once</t>
        </is>
      </c>
      <c r="D154" s="40" t="inlineStr"/>
      <c r="E154" s="40" t="inlineStr">
        <is>
          <t>SEC-09</t>
        </is>
      </c>
    </row>
    <row r="155">
      <c r="A155" s="40" t="inlineStr">
        <is>
          <t>NfrCategory</t>
        </is>
      </c>
      <c r="B155" s="40" t="inlineStr">
        <is>
          <t>Cost</t>
        </is>
      </c>
      <c r="C155" s="40" t="inlineStr">
        <is>
          <t>Spend on servers and hosting</t>
        </is>
      </c>
      <c r="D155" s="40" t="inlineStr"/>
      <c r="E155" s="40" t="inlineStr">
        <is>
          <t>SEC-09</t>
        </is>
      </c>
    </row>
    <row r="156">
      <c r="A156" s="40" t="inlineStr">
        <is>
          <t>Comparator</t>
        </is>
      </c>
      <c r="B156" s="40" t="inlineStr">
        <is>
          <t>At most</t>
        </is>
      </c>
      <c r="C156" s="40" t="inlineStr">
        <is>
          <t>The value must not go above the target</t>
        </is>
      </c>
      <c r="D156" s="40" t="inlineStr">
        <is>
          <t>10.2.1 Comparator</t>
        </is>
      </c>
      <c r="E156" s="40" t="inlineStr">
        <is>
          <t>SEC-10</t>
        </is>
      </c>
    </row>
    <row r="157">
      <c r="A157" s="40" t="inlineStr">
        <is>
          <t>Comparator</t>
        </is>
      </c>
      <c r="B157" s="40" t="inlineStr">
        <is>
          <t>At least</t>
        </is>
      </c>
      <c r="C157" s="40" t="inlineStr">
        <is>
          <t>The value must not go below the target</t>
        </is>
      </c>
      <c r="D157" s="40" t="inlineStr"/>
      <c r="E157" s="40" t="inlineStr">
        <is>
          <t>SEC-10</t>
        </is>
      </c>
    </row>
    <row r="158">
      <c r="A158" s="40" t="inlineStr">
        <is>
          <t>Comparator</t>
        </is>
      </c>
      <c r="B158" s="40" t="inlineStr">
        <is>
          <t>Exactly</t>
        </is>
      </c>
      <c r="C158" s="40" t="inlineStr">
        <is>
          <t>The value must equal the target</t>
        </is>
      </c>
      <c r="D158" s="40" t="inlineStr"/>
      <c r="E158" s="40" t="inlineStr">
        <is>
          <t>SEC-10</t>
        </is>
      </c>
    </row>
    <row r="159">
      <c r="A159" s="40" t="inlineStr">
        <is>
          <t>TargetStatus</t>
        </is>
      </c>
      <c r="B159" s="40" t="inlineStr">
        <is>
          <t>Set</t>
        </is>
      </c>
      <c r="C159" s="40" t="inlineStr">
        <is>
          <t>A target is recorded</t>
        </is>
      </c>
      <c r="D159" s="40" t="inlineStr">
        <is>
          <t>10.2.4 Target status</t>
        </is>
      </c>
      <c r="E159" s="40" t="inlineStr">
        <is>
          <t>SEC-10</t>
        </is>
      </c>
    </row>
    <row r="160">
      <c r="A160" s="40" t="inlineStr">
        <is>
          <t>TargetStatus</t>
        </is>
      </c>
      <c r="B160" s="40" t="inlineStr">
        <is>
          <t>To be set</t>
        </is>
      </c>
      <c r="C160" s="40" t="inlineStr">
        <is>
          <t>The target waits for measurements</t>
        </is>
      </c>
      <c r="D160" s="40" t="inlineStr"/>
      <c r="E160" s="40" t="inlineStr">
        <is>
          <t>SEC-10</t>
        </is>
      </c>
    </row>
    <row r="161">
      <c r="A161" s="40" t="inlineStr">
        <is>
          <t>MeasuredBy</t>
        </is>
      </c>
      <c r="B161" s="40" t="inlineStr">
        <is>
          <t>Automated test</t>
        </is>
      </c>
      <c r="C161" s="40" t="inlineStr">
        <is>
          <t>A test that runs by itself</t>
        </is>
      </c>
      <c r="D161" s="40" t="inlineStr">
        <is>
          <t>11.1.2 Measured by</t>
        </is>
      </c>
      <c r="E161" s="40" t="inlineStr">
        <is>
          <t>SEC-11</t>
        </is>
      </c>
    </row>
    <row r="162">
      <c r="A162" s="40" t="inlineStr">
        <is>
          <t>MeasuredBy</t>
        </is>
      </c>
      <c r="B162" s="40" t="inlineStr">
        <is>
          <t>Query plan</t>
        </is>
      </c>
      <c r="C162" s="40" t="inlineStr">
        <is>
          <t>EXPLAIN ANALYZE or similar</t>
        </is>
      </c>
      <c r="D162" s="40" t="inlineStr"/>
      <c r="E162" s="40" t="inlineStr">
        <is>
          <t>SEC-11</t>
        </is>
      </c>
    </row>
    <row r="163">
      <c r="A163" s="40" t="inlineStr">
        <is>
          <t>MeasuredBy</t>
        </is>
      </c>
      <c r="B163" s="40" t="inlineStr">
        <is>
          <t>Load test</t>
        </is>
      </c>
      <c r="C163" s="40" t="inlineStr">
        <is>
          <t>A run at volume</t>
        </is>
      </c>
      <c r="D163" s="40" t="inlineStr"/>
      <c r="E163" s="40" t="inlineStr">
        <is>
          <t>SEC-11</t>
        </is>
      </c>
    </row>
    <row r="164">
      <c r="A164" s="40" t="inlineStr">
        <is>
          <t>MeasuredBy</t>
        </is>
      </c>
      <c r="B164" s="40" t="inlineStr">
        <is>
          <t>Document check</t>
        </is>
      </c>
      <c r="C164" s="40" t="inlineStr">
        <is>
          <t>Read from a file or setting</t>
        </is>
      </c>
      <c r="D164" s="40" t="inlineStr"/>
      <c r="E164" s="40" t="inlineStr">
        <is>
          <t>SEC-11</t>
        </is>
      </c>
    </row>
    <row r="165">
      <c r="A165" s="40" t="inlineStr">
        <is>
          <t>MeasuredBy</t>
        </is>
      </c>
      <c r="B165" s="40" t="inlineStr">
        <is>
          <t>Review</t>
        </is>
      </c>
      <c r="C165" s="40" t="inlineStr">
        <is>
          <t>A person checks it</t>
        </is>
      </c>
      <c r="D165" s="40" t="inlineStr"/>
      <c r="E165" s="40" t="inlineStr">
        <is>
          <t>SEC-11</t>
        </is>
      </c>
    </row>
    <row r="166">
      <c r="A166" s="40" t="inlineStr">
        <is>
          <t>MeasuredBy</t>
        </is>
      </c>
      <c r="B166" s="40" t="inlineStr">
        <is>
          <t>Not yet defined</t>
        </is>
      </c>
      <c r="C166" s="40" t="inlineStr">
        <is>
          <t>No method recorded yet</t>
        </is>
      </c>
      <c r="D166" s="40" t="inlineStr"/>
      <c r="E166" s="40" t="inlineStr">
        <is>
          <t>SEC-11</t>
        </is>
      </c>
    </row>
    <row r="167">
      <c r="A167" s="40" t="inlineStr">
        <is>
          <t>DerivedFrom</t>
        </is>
      </c>
      <c r="B167" s="40" t="inlineStr">
        <is>
          <t>Volumes</t>
        </is>
      </c>
      <c r="C167" s="40" t="inlineStr">
        <is>
          <t>Worked out from stated volumes</t>
        </is>
      </c>
      <c r="D167" s="40" t="inlineStr">
        <is>
          <t>12.1.1 Derived from</t>
        </is>
      </c>
      <c r="E167" s="40" t="inlineStr">
        <is>
          <t>SEC-12</t>
        </is>
      </c>
    </row>
    <row r="168">
      <c r="A168" s="40" t="inlineStr">
        <is>
          <t>DerivedFrom</t>
        </is>
      </c>
      <c r="B168" s="40" t="inlineStr">
        <is>
          <t>Regulation</t>
        </is>
      </c>
      <c r="C168" s="40" t="inlineStr">
        <is>
          <t>Set by a named law or standard</t>
        </is>
      </c>
      <c r="D168" s="40" t="inlineStr"/>
      <c r="E168" s="40" t="inlineStr">
        <is>
          <t>SEC-12</t>
        </is>
      </c>
    </row>
    <row r="169">
      <c r="A169" s="40" t="inlineStr">
        <is>
          <t>DerivedFrom</t>
        </is>
      </c>
      <c r="B169" s="40" t="inlineStr">
        <is>
          <t>Industry standard</t>
        </is>
      </c>
      <c r="C169" s="40" t="inlineStr">
        <is>
          <t>Taken from a common standard</t>
        </is>
      </c>
      <c r="D169" s="40" t="inlineStr"/>
      <c r="E169" s="40" t="inlineStr">
        <is>
          <t>SEC-12</t>
        </is>
      </c>
    </row>
    <row r="170">
      <c r="A170" s="40" t="inlineStr">
        <is>
          <t>DerivedFrom</t>
        </is>
      </c>
      <c r="B170" s="40" t="inlineStr">
        <is>
          <t>Team decision</t>
        </is>
      </c>
      <c r="C170" s="40" t="inlineStr">
        <is>
          <t>Chosen by the team</t>
        </is>
      </c>
      <c r="D170" s="40" t="inlineStr"/>
      <c r="E170" s="40" t="inlineStr">
        <is>
          <t>SEC-12</t>
        </is>
      </c>
    </row>
    <row r="171">
      <c r="A171" s="40" t="inlineStr">
        <is>
          <t>DerivedFrom</t>
        </is>
      </c>
      <c r="B171" s="40" t="inlineStr">
        <is>
          <t>Not yet derived</t>
        </is>
      </c>
      <c r="C171" s="40" t="inlineStr">
        <is>
          <t>No basis recorded yet</t>
        </is>
      </c>
      <c r="D171" s="40" t="inlineStr"/>
      <c r="E171" s="40" t="inlineStr">
        <is>
          <t>SEC-12</t>
        </is>
      </c>
    </row>
    <row r="172">
      <c r="A172" s="40" t="inlineStr">
        <is>
          <t>NfrStatus</t>
        </is>
      </c>
      <c r="B172" s="40" t="inlineStr">
        <is>
          <t>Built and tested</t>
        </is>
      </c>
      <c r="C172" s="40" t="inlineStr">
        <is>
          <t>Built and the tests pass</t>
        </is>
      </c>
      <c r="D172" s="40" t="inlineStr">
        <is>
          <t>13.1.1 Our status</t>
        </is>
      </c>
      <c r="E172" s="40" t="inlineStr">
        <is>
          <t>SEC-13</t>
        </is>
      </c>
    </row>
    <row r="173">
      <c r="A173" s="40" t="inlineStr">
        <is>
          <t>NfrStatus</t>
        </is>
      </c>
      <c r="B173" s="40" t="inlineStr">
        <is>
          <t>Built</t>
        </is>
      </c>
      <c r="C173" s="40" t="inlineStr">
        <is>
          <t>Built, not yet tested end to end</t>
        </is>
      </c>
      <c r="D173" s="40" t="inlineStr"/>
      <c r="E173" s="40" t="inlineStr">
        <is>
          <t>SEC-13</t>
        </is>
      </c>
    </row>
    <row r="174">
      <c r="A174" s="40" t="inlineStr">
        <is>
          <t>NfrStatus</t>
        </is>
      </c>
      <c r="B174" s="40" t="inlineStr">
        <is>
          <t>Designed</t>
        </is>
      </c>
      <c r="C174" s="40" t="inlineStr">
        <is>
          <t>Designed, not fully proven</t>
        </is>
      </c>
      <c r="D174" s="40" t="inlineStr"/>
      <c r="E174" s="40" t="inlineStr">
        <is>
          <t>SEC-13</t>
        </is>
      </c>
    </row>
    <row r="175">
      <c r="A175" s="40" t="inlineStr">
        <is>
          <t>NfrStatus</t>
        </is>
      </c>
      <c r="B175" s="40" t="inlineStr">
        <is>
          <t>Planned</t>
        </is>
      </c>
      <c r="C175" s="40" t="inlineStr">
        <is>
          <t>Not built yet</t>
        </is>
      </c>
      <c r="D175" s="40" t="inlineStr"/>
      <c r="E175" s="40" t="inlineStr">
        <is>
          <t>SEC-13</t>
        </is>
      </c>
    </row>
    <row r="176">
      <c r="A176" s="40" t="inlineStr">
        <is>
          <t>NfrStatus</t>
        </is>
      </c>
      <c r="B176" s="40" t="inlineStr">
        <is>
          <t>Partly met</t>
        </is>
      </c>
      <c r="C176" s="40" t="inlineStr">
        <is>
          <t>Part of it is in place</t>
        </is>
      </c>
      <c r="D176" s="40" t="inlineStr"/>
      <c r="E176" s="40" t="inlineStr">
        <is>
          <t>SEC-13</t>
        </is>
      </c>
    </row>
    <row r="177">
      <c r="A177" s="40" t="inlineStr">
        <is>
          <t>NfrStatus</t>
        </is>
      </c>
      <c r="B177" s="40" t="inlineStr">
        <is>
          <t>Proposed</t>
        </is>
      </c>
      <c r="C177" s="40" t="inlineStr">
        <is>
          <t>Suggested in this workbook; not yet in the requirements workbook; needs team approval</t>
        </is>
      </c>
      <c r="D177" s="40" t="inlineStr"/>
      <c r="E177" s="40" t="inlineStr">
        <is>
          <t>SEC-13</t>
        </is>
      </c>
    </row>
    <row r="178">
      <c r="A178" s="40" t="inlineStr">
        <is>
          <t>ReqSource</t>
        </is>
      </c>
      <c r="B178" s="40" t="inlineStr">
        <is>
          <t>Brief sentence</t>
        </is>
      </c>
      <c r="C178" s="40" t="inlineStr">
        <is>
          <t>A sentence of the original brief</t>
        </is>
      </c>
      <c r="D178" s="40" t="inlineStr">
        <is>
          <t>15.1.1 Source type</t>
        </is>
      </c>
      <c r="E178" s="40" t="inlineStr">
        <is>
          <t>SEC-15</t>
        </is>
      </c>
    </row>
    <row r="179">
      <c r="A179" s="40" t="inlineStr">
        <is>
          <t>ReqSource</t>
        </is>
      </c>
      <c r="B179" s="40" t="inlineStr">
        <is>
          <t>Panel Q and A</t>
        </is>
      </c>
      <c r="C179" s="40" t="inlineStr">
        <is>
          <t>An answer recorded in the panel question sheet</t>
        </is>
      </c>
      <c r="D179" s="40" t="inlineStr"/>
      <c r="E179" s="40" t="inlineStr">
        <is>
          <t>SEC-15</t>
        </is>
      </c>
    </row>
    <row r="180">
      <c r="A180" s="40" t="inlineStr">
        <is>
          <t>ReqSource</t>
        </is>
      </c>
      <c r="B180" s="40" t="inlineStr">
        <is>
          <t>Team decision</t>
        </is>
      </c>
      <c r="C180" s="40" t="inlineStr">
        <is>
          <t>A decision the team recorded</t>
        </is>
      </c>
      <c r="D180" s="40" t="inlineStr"/>
      <c r="E180" s="40" t="inlineStr">
        <is>
          <t>SEC-15</t>
        </is>
      </c>
    </row>
    <row r="181">
      <c r="A181" s="40" t="inlineStr">
        <is>
          <t>ReqSource</t>
        </is>
      </c>
      <c r="B181" s="40" t="inlineStr">
        <is>
          <t>Derived from feature study</t>
        </is>
      </c>
      <c r="C181" s="40" t="inlineStr">
        <is>
          <t>Found during feature discovery</t>
        </is>
      </c>
      <c r="D181" s="40" t="inlineStr"/>
      <c r="E181" s="40" t="inlineStr">
        <is>
          <t>SEC-15</t>
        </is>
      </c>
    </row>
    <row r="182">
      <c r="A182" s="40" t="inlineStr">
        <is>
          <t>ReqSource</t>
        </is>
      </c>
      <c r="B182" s="40" t="inlineStr">
        <is>
          <t>Not recorded</t>
        </is>
      </c>
      <c r="C182" s="40" t="inlineStr">
        <is>
          <t>No source is recorded yet</t>
        </is>
      </c>
      <c r="D182" s="40" t="inlineStr"/>
      <c r="E182" s="40" t="inlineStr">
        <is>
          <t>SEC-15</t>
        </is>
      </c>
    </row>
    <row r="183">
      <c r="A183" s="40" t="inlineStr">
        <is>
          <t>ReqStatus</t>
        </is>
      </c>
      <c r="B183" s="40" t="inlineStr">
        <is>
          <t>Built and tested</t>
        </is>
      </c>
      <c r="C183" s="40" t="inlineStr">
        <is>
          <t>Built and the tests pass</t>
        </is>
      </c>
      <c r="D183" s="40" t="inlineStr">
        <is>
          <t>17.1.1 Our status</t>
        </is>
      </c>
      <c r="E183" s="40" t="inlineStr">
        <is>
          <t>SEC-17</t>
        </is>
      </c>
    </row>
    <row r="184">
      <c r="A184" s="40" t="inlineStr">
        <is>
          <t>ReqStatus</t>
        </is>
      </c>
      <c r="B184" s="40" t="inlineStr">
        <is>
          <t>Built</t>
        </is>
      </c>
      <c r="C184" s="40" t="inlineStr">
        <is>
          <t>Built, not yet tested end to end</t>
        </is>
      </c>
      <c r="D184" s="40" t="inlineStr"/>
      <c r="E184" s="40" t="inlineStr">
        <is>
          <t>SEC-17</t>
        </is>
      </c>
    </row>
    <row r="185">
      <c r="A185" s="40" t="inlineStr">
        <is>
          <t>ReqStatus</t>
        </is>
      </c>
      <c r="B185" s="40" t="inlineStr">
        <is>
          <t>Designed</t>
        </is>
      </c>
      <c r="C185" s="40" t="inlineStr">
        <is>
          <t>Designed, not fully proven</t>
        </is>
      </c>
      <c r="D185" s="40" t="inlineStr"/>
      <c r="E185" s="40" t="inlineStr">
        <is>
          <t>SEC-17</t>
        </is>
      </c>
    </row>
    <row r="186">
      <c r="A186" s="40" t="inlineStr">
        <is>
          <t>ReqStatus</t>
        </is>
      </c>
      <c r="B186" s="40" t="inlineStr">
        <is>
          <t>Planned</t>
        </is>
      </c>
      <c r="C186" s="40" t="inlineStr">
        <is>
          <t>Not built yet</t>
        </is>
      </c>
      <c r="D186" s="40" t="inlineStr"/>
      <c r="E186" s="40" t="inlineStr">
        <is>
          <t>SEC-17</t>
        </is>
      </c>
    </row>
    <row r="187">
      <c r="A187" s="40" t="inlineStr">
        <is>
          <t>ReqStatus</t>
        </is>
      </c>
      <c r="B187" s="40" t="inlineStr">
        <is>
          <t>Partly met</t>
        </is>
      </c>
      <c r="C187" s="40" t="inlineStr">
        <is>
          <t>Part of it is in place</t>
        </is>
      </c>
      <c r="D187" s="40" t="inlineStr"/>
      <c r="E187" s="40" t="inlineStr">
        <is>
          <t>SEC-17</t>
        </is>
      </c>
    </row>
    <row r="188">
      <c r="A188" s="40" t="inlineStr">
        <is>
          <t>LineType</t>
        </is>
      </c>
      <c r="B188" s="40" t="inlineStr">
        <is>
          <t>Goal</t>
        </is>
      </c>
      <c r="C188" s="40" t="inlineStr">
        <is>
          <t>What the product is for</t>
        </is>
      </c>
      <c r="D188" s="40" t="inlineStr">
        <is>
          <t>18.1.2 Line type</t>
        </is>
      </c>
      <c r="E188" s="40" t="inlineStr">
        <is>
          <t>SEC-18</t>
        </is>
      </c>
    </row>
    <row r="189">
      <c r="A189" s="40" t="inlineStr">
        <is>
          <t>LineType</t>
        </is>
      </c>
      <c r="B189" s="40" t="inlineStr">
        <is>
          <t>In scope</t>
        </is>
      </c>
      <c r="C189" s="40" t="inlineStr">
        <is>
          <t>Something that is included</t>
        </is>
      </c>
      <c r="D189" s="40" t="inlineStr"/>
      <c r="E189" s="40" t="inlineStr">
        <is>
          <t>SEC-18</t>
        </is>
      </c>
    </row>
    <row r="190">
      <c r="A190" s="40" t="inlineStr">
        <is>
          <t>LineType</t>
        </is>
      </c>
      <c r="B190" s="40" t="inlineStr">
        <is>
          <t>Out of scope</t>
        </is>
      </c>
      <c r="C190" s="40" t="inlineStr">
        <is>
          <t>Something deliberately left out</t>
        </is>
      </c>
      <c r="D190" s="40" t="inlineStr"/>
      <c r="E190" s="40" t="inlineStr">
        <is>
          <t>SEC-18</t>
        </is>
      </c>
    </row>
    <row r="191">
      <c r="A191" s="40" t="inlineStr">
        <is>
          <t>LineType</t>
        </is>
      </c>
      <c r="B191" s="40" t="inlineStr">
        <is>
          <t>Assumption</t>
        </is>
      </c>
      <c r="C191" s="40" t="inlineStr">
        <is>
          <t>Something taken as true without proof</t>
        </is>
      </c>
      <c r="D191" s="40" t="inlineStr"/>
      <c r="E191" s="40" t="inlineStr">
        <is>
          <t>SEC-18</t>
        </is>
      </c>
    </row>
    <row r="192">
      <c r="A192" s="40" t="inlineStr">
        <is>
          <t>LineType</t>
        </is>
      </c>
      <c r="B192" s="40" t="inlineStr">
        <is>
          <t>Open question</t>
        </is>
      </c>
      <c r="C192" s="40" t="inlineStr">
        <is>
          <t>Something still to be decided</t>
        </is>
      </c>
      <c r="D192" s="40" t="inlineStr"/>
      <c r="E192" s="40" t="inlineStr">
        <is>
          <t>SEC-18</t>
        </is>
      </c>
    </row>
    <row r="193">
      <c r="A193" s="40" t="inlineStr">
        <is>
          <t>PriorityBasis</t>
        </is>
      </c>
      <c r="B193" s="40" t="inlineStr">
        <is>
          <t>Derived from features</t>
        </is>
      </c>
      <c r="C193" s="40" t="inlineStr">
        <is>
          <t>Worked out from the class of the features that implement it</t>
        </is>
      </c>
      <c r="D193" s="40" t="inlineStr">
        <is>
          <t>16.1.2 Priority basis</t>
        </is>
      </c>
      <c r="E193" s="40" t="inlineStr">
        <is>
          <t>SEC-16</t>
        </is>
      </c>
    </row>
    <row r="194">
      <c r="A194" s="40" t="inlineStr">
        <is>
          <t>PriorityBasis</t>
        </is>
      </c>
      <c r="B194" s="40" t="inlineStr">
        <is>
          <t>Set by the team</t>
        </is>
      </c>
      <c r="C194" s="40" t="inlineStr">
        <is>
          <t>Chosen by the team</t>
        </is>
      </c>
      <c r="D194" s="40" t="inlineStr"/>
      <c r="E194" s="40" t="inlineStr">
        <is>
          <t>SEC-16</t>
        </is>
      </c>
    </row>
    <row r="195">
      <c r="A195" s="40" t="inlineStr">
        <is>
          <t>PriorityBasis</t>
        </is>
      </c>
      <c r="B195" s="40" t="inlineStr">
        <is>
          <t>Not set</t>
        </is>
      </c>
      <c r="C195" s="40" t="inlineStr">
        <is>
          <t>No priority recorded yet</t>
        </is>
      </c>
      <c r="D195" s="40" t="inlineStr"/>
      <c r="E195" s="40" t="inlineStr">
        <is>
          <t>SEC-16</t>
        </is>
      </c>
    </row>
  </sheetData>
  <autoFilter ref="A1:E19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V17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s>
  <sheetData>
    <row r="1">
      <c r="A1" s="42" t="inlineStr">
        <is>
          <t>Output document (draft, deliverable c): the 176 features and capabilities in the original column layout. Five columns were normalised to the schema's allowed values; the wording as first recorded is kept in the last column.</t>
        </is>
      </c>
    </row>
    <row r="3">
      <c r="A3" s="24" t="inlineStr">
        <is>
          <t>ID</t>
        </is>
      </c>
      <c r="B3" s="24" t="inlineStr">
        <is>
          <t>Level</t>
        </is>
      </c>
      <c r="C3" s="24" t="inlineStr">
        <is>
          <t>Parent</t>
        </is>
      </c>
      <c r="D3" s="24" t="inlineStr">
        <is>
          <t>Feature</t>
        </is>
      </c>
      <c r="E3" s="24" t="inlineStr">
        <is>
          <t>Plain description</t>
        </is>
      </c>
      <c r="F3" s="24" t="inlineStr">
        <is>
          <t>Category</t>
        </is>
      </c>
      <c r="G3" s="24" t="inlineStr">
        <is>
          <t>Persona</t>
        </is>
      </c>
      <c r="H3" s="24" t="inlineStr">
        <is>
          <t>Source type</t>
        </is>
      </c>
      <c r="I3" s="24" t="inlineStr">
        <is>
          <t>Source reference</t>
        </is>
      </c>
      <c r="J3" s="24" t="inlineStr">
        <is>
          <t>Scope</t>
        </is>
      </c>
      <c r="K3" s="24" t="inlineStr">
        <is>
          <t>Classification</t>
        </is>
      </c>
      <c r="L3" s="24" t="inlineStr">
        <is>
          <t>Class basis</t>
        </is>
      </c>
      <c r="M3" s="24" t="inlineStr">
        <is>
          <t>Reason</t>
        </is>
      </c>
      <c r="N3" s="24" t="inlineStr">
        <is>
          <t>Confidence</t>
        </is>
      </c>
      <c r="O3" s="24" t="inlineStr">
        <is>
          <t>Evidence status</t>
        </is>
      </c>
      <c r="P3" s="24" t="inlineStr">
        <is>
          <t>Our coverage</t>
        </is>
      </c>
      <c r="Q3" s="24" t="inlineStr">
        <is>
          <t>Verdict</t>
        </is>
      </c>
      <c r="R3" s="24" t="inlineStr">
        <is>
          <t>Verdict source</t>
        </is>
      </c>
      <c r="S3" s="24" t="inlineStr">
        <is>
          <t>Trace status</t>
        </is>
      </c>
      <c r="T3" s="24" t="inlineStr">
        <is>
          <t>Note</t>
        </is>
      </c>
      <c r="U3" s="24" t="inlineStr">
        <is>
          <t>Rule check</t>
        </is>
      </c>
      <c r="V3" s="24" t="inlineStr">
        <is>
          <t>Recorded wording before normalising</t>
        </is>
      </c>
    </row>
    <row r="4">
      <c r="A4" t="inlineStr">
        <is>
          <t>FD-001</t>
        </is>
      </c>
      <c r="B4" t="inlineStr">
        <is>
          <t>Feature</t>
        </is>
      </c>
      <c r="D4" t="inlineStr">
        <is>
          <t>Resume headline and profile summary</t>
        </is>
      </c>
      <c r="E4" t="inlineStr">
        <is>
          <t>A short headline and a summary of the candidate, with the language of the text.</t>
        </is>
      </c>
      <c r="F4" t="inlineStr">
        <is>
          <t>Profile</t>
        </is>
      </c>
      <c r="G4" t="inlineStr">
        <is>
          <t>Candidate</t>
        </is>
      </c>
      <c r="H4" t="inlineStr">
        <is>
          <t>Competitor register</t>
        </is>
      </c>
      <c r="I4" t="inlineStr">
        <is>
          <t>Section 1: Candidate profile (row 1)</t>
        </is>
      </c>
      <c r="J4" t="inlineStr">
        <is>
          <t>General</t>
        </is>
      </c>
      <c r="K4" t="inlineStr">
        <is>
          <t>MUST-HAVE</t>
        </is>
      </c>
      <c r="L4" t="inlineStr">
        <is>
          <t>Competitor matrix rule</t>
        </is>
      </c>
      <c r="M4" t="inlineStr">
        <is>
          <t>3 of 3 studied leaders offer it (Naukri, Monster, LinkedIn); 0 not verified.</t>
        </is>
      </c>
      <c r="N4" t="inlineStr">
        <is>
          <t>Firm</t>
        </is>
      </c>
      <c r="O4" t="inlineStr">
        <is>
          <t>Public</t>
        </is>
      </c>
      <c r="P4" t="inlineStr">
        <is>
          <t>Built and tested</t>
        </is>
      </c>
      <c r="Q4" t="inlineStr">
        <is>
          <t>Matches</t>
        </is>
      </c>
      <c r="R4" t="inlineStr">
        <is>
          <t>Register</t>
        </is>
      </c>
      <c r="S4" t="inlineStr">
        <is>
          <t>Traced</t>
        </is>
      </c>
      <c r="U4" t="inlineStr">
        <is>
          <t>OK</t>
        </is>
      </c>
      <c r="V4" t="inlineStr">
        <is>
          <t>Trace status: Traced to requirement</t>
        </is>
      </c>
    </row>
    <row r="5">
      <c r="A5" t="inlineStr">
        <is>
          <t>FD-002</t>
        </is>
      </c>
      <c r="B5" t="inlineStr">
        <is>
          <t>Feature</t>
        </is>
      </c>
      <c r="D5" t="inlineStr">
        <is>
          <t>Employment history with designation, organisation, duration, description</t>
        </is>
      </c>
      <c r="E5" t="inlineStr">
        <is>
          <t>Jobs held, with designation, organisation, dates and description, and the notice period.</t>
        </is>
      </c>
      <c r="F5" t="inlineStr">
        <is>
          <t>Profile</t>
        </is>
      </c>
      <c r="G5" t="inlineStr">
        <is>
          <t>Candidate</t>
        </is>
      </c>
      <c r="H5" t="inlineStr">
        <is>
          <t>Competitor register</t>
        </is>
      </c>
      <c r="I5" t="inlineStr">
        <is>
          <t>Section 1: Candidate profile (row 2)</t>
        </is>
      </c>
      <c r="J5" t="inlineStr">
        <is>
          <t>General</t>
        </is>
      </c>
      <c r="K5" t="inlineStr">
        <is>
          <t>MUST-HAVE</t>
        </is>
      </c>
      <c r="L5" t="inlineStr">
        <is>
          <t>Competitor matrix rule</t>
        </is>
      </c>
      <c r="M5" t="inlineStr">
        <is>
          <t>3 of 3 studied leaders offer it (Naukri, Monster, LinkedIn); 0 not verified.</t>
        </is>
      </c>
      <c r="N5" t="inlineStr">
        <is>
          <t>Firm</t>
        </is>
      </c>
      <c r="O5" t="inlineStr">
        <is>
          <t>Public</t>
        </is>
      </c>
      <c r="P5" t="inlineStr">
        <is>
          <t>Built and tested</t>
        </is>
      </c>
      <c r="Q5" t="inlineStr">
        <is>
          <t>Matches</t>
        </is>
      </c>
      <c r="R5" t="inlineStr">
        <is>
          <t>Register</t>
        </is>
      </c>
      <c r="S5" t="inlineStr">
        <is>
          <t>Traced</t>
        </is>
      </c>
      <c r="U5" t="inlineStr">
        <is>
          <t>OK</t>
        </is>
      </c>
      <c r="V5" t="inlineStr">
        <is>
          <t>Trace status: Traced to requirement</t>
        </is>
      </c>
    </row>
    <row r="6">
      <c r="A6" t="inlineStr">
        <is>
          <t>FD-003</t>
        </is>
      </c>
      <c r="B6" t="inlineStr">
        <is>
          <t>Feature</t>
        </is>
      </c>
      <c r="D6" t="inlineStr">
        <is>
          <t>Education</t>
        </is>
      </c>
      <c r="E6" t="inlineStr">
        <is>
          <t>Qualifications with institution, grade and the grading scale used.</t>
        </is>
      </c>
      <c r="F6" t="inlineStr">
        <is>
          <t>Profile</t>
        </is>
      </c>
      <c r="G6" t="inlineStr">
        <is>
          <t>Candidate</t>
        </is>
      </c>
      <c r="H6" t="inlineStr">
        <is>
          <t>Competitor register</t>
        </is>
      </c>
      <c r="I6" t="inlineStr">
        <is>
          <t>Section 1: Candidate profile (row 3)</t>
        </is>
      </c>
      <c r="J6" t="inlineStr">
        <is>
          <t>General</t>
        </is>
      </c>
      <c r="K6" t="inlineStr">
        <is>
          <t>MUST-HAVE</t>
        </is>
      </c>
      <c r="L6" t="inlineStr">
        <is>
          <t>Competitor matrix rule</t>
        </is>
      </c>
      <c r="M6" t="inlineStr">
        <is>
          <t>3 of 3 studied leaders offer it (Naukri, Monster, LinkedIn); 0 not verified.</t>
        </is>
      </c>
      <c r="N6" t="inlineStr">
        <is>
          <t>Firm</t>
        </is>
      </c>
      <c r="O6" t="inlineStr">
        <is>
          <t>Public</t>
        </is>
      </c>
      <c r="P6" t="inlineStr">
        <is>
          <t>Built and tested</t>
        </is>
      </c>
      <c r="Q6" t="inlineStr">
        <is>
          <t>Matches</t>
        </is>
      </c>
      <c r="R6" t="inlineStr">
        <is>
          <t>Register</t>
        </is>
      </c>
      <c r="S6" t="inlineStr">
        <is>
          <t>Traced</t>
        </is>
      </c>
      <c r="U6" t="inlineStr">
        <is>
          <t>OK</t>
        </is>
      </c>
      <c r="V6" t="inlineStr">
        <is>
          <t>Trace status: Traced to requirement</t>
        </is>
      </c>
    </row>
    <row r="7">
      <c r="A7" t="inlineStr">
        <is>
          <t>FD-004</t>
        </is>
      </c>
      <c r="B7" t="inlineStr">
        <is>
          <t>Feature</t>
        </is>
      </c>
      <c r="D7" t="inlineStr">
        <is>
          <t>Key skills</t>
        </is>
      </c>
      <c r="E7" t="inlineStr">
        <is>
          <t>Skills with level, years of use, last year used and where the skill came from.</t>
        </is>
      </c>
      <c r="F7" t="inlineStr">
        <is>
          <t>Profile</t>
        </is>
      </c>
      <c r="G7" t="inlineStr">
        <is>
          <t>Candidate</t>
        </is>
      </c>
      <c r="H7" t="inlineStr">
        <is>
          <t>Competitor register</t>
        </is>
      </c>
      <c r="I7" t="inlineStr">
        <is>
          <t>Section 1: Candidate profile (row 4)</t>
        </is>
      </c>
      <c r="J7" t="inlineStr">
        <is>
          <t>General</t>
        </is>
      </c>
      <c r="K7" t="inlineStr">
        <is>
          <t>MUST-HAVE</t>
        </is>
      </c>
      <c r="L7" t="inlineStr">
        <is>
          <t>Competitor matrix rule</t>
        </is>
      </c>
      <c r="M7" t="inlineStr">
        <is>
          <t>3 of 3 studied leaders offer it (Naukri, Monster, LinkedIn); 0 not verified.</t>
        </is>
      </c>
      <c r="N7" t="inlineStr">
        <is>
          <t>Firm</t>
        </is>
      </c>
      <c r="O7" t="inlineStr">
        <is>
          <t>Public</t>
        </is>
      </c>
      <c r="P7" t="inlineStr">
        <is>
          <t>Built and tested</t>
        </is>
      </c>
      <c r="Q7" t="inlineStr">
        <is>
          <t>Exceeds</t>
        </is>
      </c>
      <c r="R7" t="inlineStr">
        <is>
          <t>Register</t>
        </is>
      </c>
      <c r="S7" t="inlineStr">
        <is>
          <t>Traced</t>
        </is>
      </c>
      <c r="U7" t="inlineStr">
        <is>
          <t>OK</t>
        </is>
      </c>
      <c r="V7" t="inlineStr">
        <is>
          <t>Trace status: Traced to requirement</t>
        </is>
      </c>
    </row>
    <row r="8">
      <c r="A8" t="inlineStr">
        <is>
          <t>FD-005</t>
        </is>
      </c>
      <c r="B8" t="inlineStr">
        <is>
          <t>Feature</t>
        </is>
      </c>
      <c r="D8" t="inlineStr">
        <is>
          <t>IT skills with software version</t>
        </is>
      </c>
      <c r="E8" t="inlineStr">
        <is>
          <t>A skill can carry the software version, so a search can tell one version of a tool from another.</t>
        </is>
      </c>
      <c r="F8" t="inlineStr">
        <is>
          <t>Profile</t>
        </is>
      </c>
      <c r="G8" t="inlineStr">
        <is>
          <t>Candidate</t>
        </is>
      </c>
      <c r="H8" t="inlineStr">
        <is>
          <t>Competitor register</t>
        </is>
      </c>
      <c r="I8" t="inlineStr">
        <is>
          <t>Section 1: Candidate profile (row 5)</t>
        </is>
      </c>
      <c r="J8" t="inlineStr">
        <is>
          <t>General</t>
        </is>
      </c>
      <c r="K8" t="inlineStr">
        <is>
          <t>DIFFERENTIATOR</t>
        </is>
      </c>
      <c r="L8" t="inlineStr">
        <is>
          <t>Competitor matrix rule</t>
        </is>
      </c>
      <c r="M8" t="inlineStr">
        <is>
          <t>1 of 3 studied leaders offer it (Naukri); 0 not verified.</t>
        </is>
      </c>
      <c r="N8" t="inlineStr">
        <is>
          <t>Firm</t>
        </is>
      </c>
      <c r="O8" t="inlineStr">
        <is>
          <t>Known</t>
        </is>
      </c>
      <c r="P8" t="inlineStr">
        <is>
          <t>Built and tested</t>
        </is>
      </c>
      <c r="Q8" t="inlineStr">
        <is>
          <t>Matches</t>
        </is>
      </c>
      <c r="R8" t="inlineStr">
        <is>
          <t>Register</t>
        </is>
      </c>
      <c r="S8" t="inlineStr">
        <is>
          <t>Traced</t>
        </is>
      </c>
      <c r="U8" t="inlineStr">
        <is>
          <t>OK</t>
        </is>
      </c>
      <c r="V8" t="inlineStr">
        <is>
          <t>Trace status: Traced to requirement</t>
        </is>
      </c>
    </row>
    <row r="9">
      <c r="A9" t="inlineStr">
        <is>
          <t>FD-006</t>
        </is>
      </c>
      <c r="B9" t="inlineStr">
        <is>
          <t>Feature</t>
        </is>
      </c>
      <c r="D9" t="inlineStr">
        <is>
          <t>Languages</t>
        </is>
      </c>
      <c r="E9" t="inlineStr">
        <is>
          <t>Languages with separate read, write and speak levels.</t>
        </is>
      </c>
      <c r="F9" t="inlineStr">
        <is>
          <t>Profile</t>
        </is>
      </c>
      <c r="G9" t="inlineStr">
        <is>
          <t>Candidate</t>
        </is>
      </c>
      <c r="H9" t="inlineStr">
        <is>
          <t>Competitor register</t>
        </is>
      </c>
      <c r="I9" t="inlineStr">
        <is>
          <t>Section 1: Candidate profile (row 6)</t>
        </is>
      </c>
      <c r="J9" t="inlineStr">
        <is>
          <t>General</t>
        </is>
      </c>
      <c r="K9" t="inlineStr">
        <is>
          <t>SHOULD-HAVE</t>
        </is>
      </c>
      <c r="L9" t="inlineStr">
        <is>
          <t>Competitor matrix rule</t>
        </is>
      </c>
      <c r="M9" t="inlineStr">
        <is>
          <t>1 of 3 studied leaders offer it (LinkedIn); 1 not verified.</t>
        </is>
      </c>
      <c r="N9" t="inlineStr">
        <is>
          <t>Provisional</t>
        </is>
      </c>
      <c r="O9" t="inlineStr">
        <is>
          <t>Public</t>
        </is>
      </c>
      <c r="P9" t="inlineStr">
        <is>
          <t>Built and tested</t>
        </is>
      </c>
      <c r="Q9" t="inlineStr">
        <is>
          <t>Exceeds</t>
        </is>
      </c>
      <c r="R9" t="inlineStr">
        <is>
          <t>Register</t>
        </is>
      </c>
      <c r="S9" t="inlineStr">
        <is>
          <t>Traced</t>
        </is>
      </c>
      <c r="U9" t="inlineStr">
        <is>
          <t>OK</t>
        </is>
      </c>
      <c r="V9" t="inlineStr">
        <is>
          <t>Trace status: Traced to requirement</t>
        </is>
      </c>
    </row>
    <row r="10">
      <c r="A10" t="inlineStr">
        <is>
          <t>FD-007</t>
        </is>
      </c>
      <c r="B10" t="inlineStr">
        <is>
          <t>Feature</t>
        </is>
      </c>
      <c r="D10" t="inlineStr">
        <is>
          <t>Certifications and licences</t>
        </is>
      </c>
      <c r="E10" t="inlineStr">
        <is>
          <t>Certificates and licences with a credential reference and an expiry date.</t>
        </is>
      </c>
      <c r="F10" t="inlineStr">
        <is>
          <t>Profile</t>
        </is>
      </c>
      <c r="G10" t="inlineStr">
        <is>
          <t>Candidate</t>
        </is>
      </c>
      <c r="H10" t="inlineStr">
        <is>
          <t>Competitor register</t>
        </is>
      </c>
      <c r="I10" t="inlineStr">
        <is>
          <t>Section 1: Candidate profile (row 7)</t>
        </is>
      </c>
      <c r="J10" t="inlineStr">
        <is>
          <t>General</t>
        </is>
      </c>
      <c r="K10" t="inlineStr">
        <is>
          <t>MUST-HAVE</t>
        </is>
      </c>
      <c r="L10" t="inlineStr">
        <is>
          <t>Competitor matrix rule</t>
        </is>
      </c>
      <c r="M10" t="inlineStr">
        <is>
          <t>3 of 3 studied leaders offer it (Naukri, Monster, LinkedIn); 0 not verified.</t>
        </is>
      </c>
      <c r="N10" t="inlineStr">
        <is>
          <t>Firm</t>
        </is>
      </c>
      <c r="O10" t="inlineStr">
        <is>
          <t>Public</t>
        </is>
      </c>
      <c r="P10" t="inlineStr">
        <is>
          <t>Built and tested</t>
        </is>
      </c>
      <c r="Q10" t="inlineStr">
        <is>
          <t>Matches</t>
        </is>
      </c>
      <c r="R10" t="inlineStr">
        <is>
          <t>Register</t>
        </is>
      </c>
      <c r="S10" t="inlineStr">
        <is>
          <t>Traced</t>
        </is>
      </c>
      <c r="U10" t="inlineStr">
        <is>
          <t>OK</t>
        </is>
      </c>
      <c r="V10" t="inlineStr">
        <is>
          <t>Trace status: Traced to requirement</t>
        </is>
      </c>
    </row>
    <row r="11">
      <c r="A11" t="inlineStr">
        <is>
          <t>FD-008</t>
        </is>
      </c>
      <c r="B11" t="inlineStr">
        <is>
          <t>Feature</t>
        </is>
      </c>
      <c r="D11" t="inlineStr">
        <is>
          <t>Projects</t>
        </is>
      </c>
      <c r="E11" t="inlineStr">
        <is>
          <t>Projects done on a job or as gig work, with the skills used.</t>
        </is>
      </c>
      <c r="F11" t="inlineStr">
        <is>
          <t>Profile</t>
        </is>
      </c>
      <c r="G11" t="inlineStr">
        <is>
          <t>Candidate</t>
        </is>
      </c>
      <c r="H11" t="inlineStr">
        <is>
          <t>Competitor register</t>
        </is>
      </c>
      <c r="I11" t="inlineStr">
        <is>
          <t>Section 1: Candidate profile (row 8)</t>
        </is>
      </c>
      <c r="J11" t="inlineStr">
        <is>
          <t>General</t>
        </is>
      </c>
      <c r="K11" t="inlineStr">
        <is>
          <t>SHOULD-HAVE</t>
        </is>
      </c>
      <c r="L11" t="inlineStr">
        <is>
          <t>Competitor matrix rule</t>
        </is>
      </c>
      <c r="M11" t="inlineStr">
        <is>
          <t>2 of 3 studied leaders offer it (Naukri, LinkedIn); 0 not verified.</t>
        </is>
      </c>
      <c r="N11" t="inlineStr">
        <is>
          <t>Firm</t>
        </is>
      </c>
      <c r="O11" t="inlineStr">
        <is>
          <t>Public</t>
        </is>
      </c>
      <c r="P11" t="inlineStr">
        <is>
          <t>Built and tested</t>
        </is>
      </c>
      <c r="Q11" t="inlineStr">
        <is>
          <t>Matches</t>
        </is>
      </c>
      <c r="R11" t="inlineStr">
        <is>
          <t>Register</t>
        </is>
      </c>
      <c r="S11" t="inlineStr">
        <is>
          <t>Traced</t>
        </is>
      </c>
      <c r="U11" t="inlineStr">
        <is>
          <t>OK</t>
        </is>
      </c>
      <c r="V11" t="inlineStr">
        <is>
          <t>Trace status: Traced to requirement</t>
        </is>
      </c>
    </row>
    <row r="12">
      <c r="A12" t="inlineStr">
        <is>
          <t>FD-009</t>
        </is>
      </c>
      <c r="B12" t="inlineStr">
        <is>
          <t>Feature</t>
        </is>
      </c>
      <c r="D12" t="inlineStr">
        <is>
          <t>Accomplishments: publications, patents, work samples</t>
        </is>
      </c>
      <c r="E12" t="inlineStr">
        <is>
          <t>Publications, patents, honours and work samples, kept as typed accomplishments.</t>
        </is>
      </c>
      <c r="F12" t="inlineStr">
        <is>
          <t>Profile</t>
        </is>
      </c>
      <c r="G12" t="inlineStr">
        <is>
          <t>Candidate</t>
        </is>
      </c>
      <c r="H12" t="inlineStr">
        <is>
          <t>Competitor register</t>
        </is>
      </c>
      <c r="I12" t="inlineStr">
        <is>
          <t>Section 1: Candidate profile (row 9)</t>
        </is>
      </c>
      <c r="J12" t="inlineStr">
        <is>
          <t>General</t>
        </is>
      </c>
      <c r="K12" t="inlineStr">
        <is>
          <t>SHOULD-HAVE</t>
        </is>
      </c>
      <c r="L12" t="inlineStr">
        <is>
          <t>Competitor matrix rule</t>
        </is>
      </c>
      <c r="M12" t="inlineStr">
        <is>
          <t>2 of 3 studied leaders offer it (Naukri, LinkedIn); 0 not verified.</t>
        </is>
      </c>
      <c r="N12" t="inlineStr">
        <is>
          <t>Firm</t>
        </is>
      </c>
      <c r="O12" t="inlineStr">
        <is>
          <t>Public</t>
        </is>
      </c>
      <c r="P12" t="inlineStr">
        <is>
          <t>Built and tested</t>
        </is>
      </c>
      <c r="Q12" t="inlineStr">
        <is>
          <t>Matches</t>
        </is>
      </c>
      <c r="R12" t="inlineStr">
        <is>
          <t>Register</t>
        </is>
      </c>
      <c r="S12" t="inlineStr">
        <is>
          <t>Traced</t>
        </is>
      </c>
      <c r="U12" t="inlineStr">
        <is>
          <t>OK</t>
        </is>
      </c>
      <c r="V12" t="inlineStr">
        <is>
          <t>Trace status: Traced to requirement</t>
        </is>
      </c>
    </row>
    <row r="13">
      <c r="A13" t="inlineStr">
        <is>
          <t>FD-010</t>
        </is>
      </c>
      <c r="B13" t="inlineStr">
        <is>
          <t>Feature</t>
        </is>
      </c>
      <c r="D13" t="inlineStr">
        <is>
          <t>Volunteering and organisations</t>
        </is>
      </c>
      <c r="E13" t="inlineStr">
        <is>
          <t>Volunteer work and organisations the candidate belongs to.</t>
        </is>
      </c>
      <c r="F13" t="inlineStr">
        <is>
          <t>Profile</t>
        </is>
      </c>
      <c r="G13" t="inlineStr">
        <is>
          <t>Candidate</t>
        </is>
      </c>
      <c r="H13" t="inlineStr">
        <is>
          <t>Competitor register</t>
        </is>
      </c>
      <c r="I13" t="inlineStr">
        <is>
          <t>Section 1: Candidate profile (row 10)</t>
        </is>
      </c>
      <c r="J13" t="inlineStr">
        <is>
          <t>General</t>
        </is>
      </c>
      <c r="K13" t="inlineStr">
        <is>
          <t>DIFFERENTIATOR</t>
        </is>
      </c>
      <c r="L13" t="inlineStr">
        <is>
          <t>Competitor matrix rule</t>
        </is>
      </c>
      <c r="M13" t="inlineStr">
        <is>
          <t>1 of 3 studied leaders offer it (LinkedIn); 0 not verified.</t>
        </is>
      </c>
      <c r="N13" t="inlineStr">
        <is>
          <t>Firm</t>
        </is>
      </c>
      <c r="O13" t="inlineStr">
        <is>
          <t>Public</t>
        </is>
      </c>
      <c r="P13" t="inlineStr">
        <is>
          <t>Built and tested</t>
        </is>
      </c>
      <c r="Q13" t="inlineStr">
        <is>
          <t>Matches</t>
        </is>
      </c>
      <c r="R13" t="inlineStr">
        <is>
          <t>Register</t>
        </is>
      </c>
      <c r="S13" t="inlineStr">
        <is>
          <t>Traced</t>
        </is>
      </c>
      <c r="U13" t="inlineStr">
        <is>
          <t>OK</t>
        </is>
      </c>
      <c r="V13" t="inlineStr">
        <is>
          <t>Trace status: Traced to requirement</t>
        </is>
      </c>
    </row>
    <row r="14">
      <c r="A14" t="inlineStr">
        <is>
          <t>FD-011</t>
        </is>
      </c>
      <c r="B14" t="inlineStr">
        <is>
          <t>Feature</t>
        </is>
      </c>
      <c r="D14" t="inlineStr">
        <is>
          <t>Recommendations and endorsements</t>
        </is>
      </c>
      <c r="E14" t="inlineStr">
        <is>
          <t>Other people recommend or endorse a candidate on the profile.</t>
        </is>
      </c>
      <c r="F14" t="inlineStr">
        <is>
          <t>Profile</t>
        </is>
      </c>
      <c r="G14" t="inlineStr">
        <is>
          <t>Candidate</t>
        </is>
      </c>
      <c r="H14" t="inlineStr">
        <is>
          <t>Competitor register</t>
        </is>
      </c>
      <c r="I14" t="inlineStr">
        <is>
          <t>Section 1: Candidate profile (row 11)</t>
        </is>
      </c>
      <c r="J14" t="inlineStr">
        <is>
          <t>General</t>
        </is>
      </c>
      <c r="K14" t="inlineStr">
        <is>
          <t>DIFFERENTIATOR</t>
        </is>
      </c>
      <c r="L14" t="inlineStr">
        <is>
          <t>Competitor matrix rule</t>
        </is>
      </c>
      <c r="M14" t="inlineStr">
        <is>
          <t>1 of 3 studied leaders offer it (LinkedIn); 0 not verified.</t>
        </is>
      </c>
      <c r="N14" t="inlineStr">
        <is>
          <t>Firm</t>
        </is>
      </c>
      <c r="O14" t="inlineStr">
        <is>
          <t>Public</t>
        </is>
      </c>
      <c r="P14" t="inlineStr">
        <is>
          <t>Not built</t>
        </is>
      </c>
      <c r="Q14" t="inlineStr">
        <is>
          <t>Falls short</t>
        </is>
      </c>
      <c r="R14" t="inlineStr">
        <is>
          <t>Register</t>
        </is>
      </c>
      <c r="S14" t="inlineStr">
        <is>
          <t>New insight</t>
        </is>
      </c>
      <c r="U14" t="inlineStr">
        <is>
          <t>OK</t>
        </is>
      </c>
      <c r="V14" t="inlineStr">
        <is>
          <t>Trace status: NEW INSIGHT</t>
        </is>
      </c>
    </row>
    <row r="15">
      <c r="A15" t="inlineStr">
        <is>
          <t>FD-012</t>
        </is>
      </c>
      <c r="B15" t="inlineStr">
        <is>
          <t>Feature</t>
        </is>
      </c>
      <c r="D15" t="inlineStr">
        <is>
          <t>Courses</t>
        </is>
      </c>
      <c r="E15" t="inlineStr">
        <is>
          <t>Courses taken, with progress, as part of the profile.</t>
        </is>
      </c>
      <c r="F15" t="inlineStr">
        <is>
          <t>Profile</t>
        </is>
      </c>
      <c r="G15" t="inlineStr">
        <is>
          <t>Candidate</t>
        </is>
      </c>
      <c r="H15" t="inlineStr">
        <is>
          <t>Competitor register</t>
        </is>
      </c>
      <c r="I15" t="inlineStr">
        <is>
          <t>Section 1: Candidate profile (row 12)</t>
        </is>
      </c>
      <c r="J15" t="inlineStr">
        <is>
          <t>General</t>
        </is>
      </c>
      <c r="K15" t="inlineStr">
        <is>
          <t>SHOULD-HAVE</t>
        </is>
      </c>
      <c r="L15" t="inlineStr">
        <is>
          <t>Competitor matrix rule</t>
        </is>
      </c>
      <c r="M15" t="inlineStr">
        <is>
          <t>1 of 3 studied leaders offer it (LinkedIn); 1 not verified.</t>
        </is>
      </c>
      <c r="N15" t="inlineStr">
        <is>
          <t>Provisional</t>
        </is>
      </c>
      <c r="O15" t="inlineStr">
        <is>
          <t>Public</t>
        </is>
      </c>
      <c r="P15" t="inlineStr">
        <is>
          <t>Built</t>
        </is>
      </c>
      <c r="Q15" t="inlineStr">
        <is>
          <t>Exceeds</t>
        </is>
      </c>
      <c r="R15" t="inlineStr">
        <is>
          <t>Register</t>
        </is>
      </c>
      <c r="S15" t="inlineStr">
        <is>
          <t>Traced</t>
        </is>
      </c>
      <c r="U15" t="inlineStr">
        <is>
          <t>OK</t>
        </is>
      </c>
      <c r="V15" t="inlineStr">
        <is>
          <t>Trace status: Traced to requirement</t>
        </is>
      </c>
    </row>
    <row r="16">
      <c r="A16" t="inlineStr">
        <is>
          <t>FD-013</t>
        </is>
      </c>
      <c r="B16" t="inlineStr">
        <is>
          <t>Feature</t>
        </is>
      </c>
      <c r="D16" t="inlineStr">
        <is>
          <t>Desired job: type, location, role</t>
        </is>
      </c>
      <c r="E16" t="inlineStr">
        <is>
          <t>What the candidate wants next: job type, work mode, cities and roles.</t>
        </is>
      </c>
      <c r="F16" t="inlineStr">
        <is>
          <t>Profile</t>
        </is>
      </c>
      <c r="G16" t="inlineStr">
        <is>
          <t>Candidate</t>
        </is>
      </c>
      <c r="H16" t="inlineStr">
        <is>
          <t>Competitor register</t>
        </is>
      </c>
      <c r="I16" t="inlineStr">
        <is>
          <t>Section 1: Candidate profile (row 13)</t>
        </is>
      </c>
      <c r="J16" t="inlineStr">
        <is>
          <t>General</t>
        </is>
      </c>
      <c r="K16" t="inlineStr">
        <is>
          <t>SHOULD-HAVE</t>
        </is>
      </c>
      <c r="L16" t="inlineStr">
        <is>
          <t>Competitor matrix rule</t>
        </is>
      </c>
      <c r="M16" t="inlineStr">
        <is>
          <t>2 of 3 studied leaders offer it (Naukri, LinkedIn); 1 not verified.</t>
        </is>
      </c>
      <c r="N16" t="inlineStr">
        <is>
          <t>Provisional</t>
        </is>
      </c>
      <c r="O16" t="inlineStr">
        <is>
          <t>Public</t>
        </is>
      </c>
      <c r="P16" t="inlineStr">
        <is>
          <t>Built and tested</t>
        </is>
      </c>
      <c r="Q16" t="inlineStr">
        <is>
          <t>Matches</t>
        </is>
      </c>
      <c r="R16" t="inlineStr">
        <is>
          <t>Register</t>
        </is>
      </c>
      <c r="S16" t="inlineStr">
        <is>
          <t>Traced</t>
        </is>
      </c>
      <c r="U16" t="inlineStr">
        <is>
          <t>OK</t>
        </is>
      </c>
      <c r="V16" t="inlineStr">
        <is>
          <t>Trace status: Traced to requirement</t>
        </is>
      </c>
    </row>
    <row r="17">
      <c r="A17" t="inlineStr">
        <is>
          <t>FD-014</t>
        </is>
      </c>
      <c r="B17" t="inlineStr">
        <is>
          <t>Feature</t>
        </is>
      </c>
      <c r="D17" t="inlineStr">
        <is>
          <t>Open to work signal</t>
        </is>
      </c>
      <c r="E17" t="inlineStr">
        <is>
          <t>A signal that the candidate is looking, kept as the work status on the profile.</t>
        </is>
      </c>
      <c r="F17" t="inlineStr">
        <is>
          <t>Profile</t>
        </is>
      </c>
      <c r="G17" t="inlineStr">
        <is>
          <t>Candidate</t>
        </is>
      </c>
      <c r="H17" t="inlineStr">
        <is>
          <t>Competitor register</t>
        </is>
      </c>
      <c r="I17" t="inlineStr">
        <is>
          <t>Section 1: Candidate profile (row 14)</t>
        </is>
      </c>
      <c r="J17" t="inlineStr">
        <is>
          <t>General</t>
        </is>
      </c>
      <c r="K17" t="inlineStr">
        <is>
          <t>SHOULD-HAVE</t>
        </is>
      </c>
      <c r="L17" t="inlineStr">
        <is>
          <t>Competitor matrix rule</t>
        </is>
      </c>
      <c r="M17" t="inlineStr">
        <is>
          <t>1 of 3 studied leaders offer it (LinkedIn); 2 not verified.</t>
        </is>
      </c>
      <c r="N17" t="inlineStr">
        <is>
          <t>Provisional</t>
        </is>
      </c>
      <c r="O17" t="inlineStr">
        <is>
          <t>Public</t>
        </is>
      </c>
      <c r="P17" t="inlineStr">
        <is>
          <t>Built and tested</t>
        </is>
      </c>
      <c r="Q17" t="inlineStr">
        <is>
          <t>Matches</t>
        </is>
      </c>
      <c r="R17" t="inlineStr">
        <is>
          <t>Register</t>
        </is>
      </c>
      <c r="S17" t="inlineStr">
        <is>
          <t>Traced</t>
        </is>
      </c>
      <c r="U17" t="inlineStr">
        <is>
          <t>OK</t>
        </is>
      </c>
      <c r="V17" t="inlineStr">
        <is>
          <t>Trace status: Traced to requirement</t>
        </is>
      </c>
    </row>
    <row r="18">
      <c r="A18" t="inlineStr">
        <is>
          <t>FD-015</t>
        </is>
      </c>
      <c r="B18" t="inlineStr">
        <is>
          <t>Feature</t>
        </is>
      </c>
      <c r="D18" t="inlineStr">
        <is>
          <t>Work authorization (right to work in a country)</t>
        </is>
      </c>
      <c r="E18" t="inlineStr">
        <is>
          <t>The countries where the candidate is allowed to work, usable as a recruiter filter.</t>
        </is>
      </c>
      <c r="F18" t="inlineStr">
        <is>
          <t>Profile</t>
        </is>
      </c>
      <c r="G18" t="inlineStr">
        <is>
          <t>Candidate</t>
        </is>
      </c>
      <c r="H18" t="inlineStr">
        <is>
          <t>Competitor register</t>
        </is>
      </c>
      <c r="I18" t="inlineStr">
        <is>
          <t>Section 1: Candidate profile (row 15)</t>
        </is>
      </c>
      <c r="J18" t="inlineStr">
        <is>
          <t>General</t>
        </is>
      </c>
      <c r="K18" t="inlineStr">
        <is>
          <t>SHOULD-HAVE</t>
        </is>
      </c>
      <c r="L18" t="inlineStr">
        <is>
          <t>Competitor matrix rule</t>
        </is>
      </c>
      <c r="M18" t="inlineStr">
        <is>
          <t>2 of 3 studied leaders offer it (Monster, LinkedIn); 0 not verified.</t>
        </is>
      </c>
      <c r="N18" t="inlineStr">
        <is>
          <t>Firm</t>
        </is>
      </c>
      <c r="O18" t="inlineStr">
        <is>
          <t>Public</t>
        </is>
      </c>
      <c r="P18" t="inlineStr">
        <is>
          <t>Not built</t>
        </is>
      </c>
      <c r="Q18" t="inlineStr">
        <is>
          <t>Falls short</t>
        </is>
      </c>
      <c r="R18" t="inlineStr">
        <is>
          <t>Register</t>
        </is>
      </c>
      <c r="S18" t="inlineStr">
        <is>
          <t>New insight</t>
        </is>
      </c>
      <c r="U18" t="inlineStr">
        <is>
          <t>OK</t>
        </is>
      </c>
      <c r="V18" t="inlineStr">
        <is>
          <t>Trace status: NEW INSIGHT</t>
        </is>
      </c>
    </row>
    <row r="19">
      <c r="A19" t="inlineStr">
        <is>
          <t>FD-016</t>
        </is>
      </c>
      <c r="B19" t="inlineStr">
        <is>
          <t>Feature</t>
        </is>
      </c>
      <c r="D19" t="inlineStr">
        <is>
          <t>Profile completeness</t>
        </is>
      </c>
      <c r="E19" t="inlineStr">
        <is>
          <t>A completeness score with its history and the version of the scoring rule used.</t>
        </is>
      </c>
      <c r="F19" t="inlineStr">
        <is>
          <t>Profile</t>
        </is>
      </c>
      <c r="G19" t="inlineStr">
        <is>
          <t>Candidate</t>
        </is>
      </c>
      <c r="H19" t="inlineStr">
        <is>
          <t>Competitor register</t>
        </is>
      </c>
      <c r="I19" t="inlineStr">
        <is>
          <t>Section 1: Candidate profile (row 16)</t>
        </is>
      </c>
      <c r="J19" t="inlineStr">
        <is>
          <t>General</t>
        </is>
      </c>
      <c r="K19" t="inlineStr">
        <is>
          <t>MUST-HAVE</t>
        </is>
      </c>
      <c r="L19" t="inlineStr">
        <is>
          <t>Competitor matrix rule</t>
        </is>
      </c>
      <c r="M19" t="inlineStr">
        <is>
          <t>3 of 3 studied leaders offer it (Naukri, Monster, LinkedIn); 0 not verified.</t>
        </is>
      </c>
      <c r="N19" t="inlineStr">
        <is>
          <t>Firm</t>
        </is>
      </c>
      <c r="O19" t="inlineStr">
        <is>
          <t>Public</t>
        </is>
      </c>
      <c r="P19" t="inlineStr">
        <is>
          <t>Built</t>
        </is>
      </c>
      <c r="Q19" t="inlineStr">
        <is>
          <t>Exceeds</t>
        </is>
      </c>
      <c r="R19" t="inlineStr">
        <is>
          <t>Register</t>
        </is>
      </c>
      <c r="S19" t="inlineStr">
        <is>
          <t>Traced</t>
        </is>
      </c>
      <c r="U19" t="inlineStr">
        <is>
          <t>OK</t>
        </is>
      </c>
      <c r="V19" t="inlineStr">
        <is>
          <t>Trace status: Traced to requirement</t>
        </is>
      </c>
    </row>
    <row r="20">
      <c r="A20" t="inlineStr">
        <is>
          <t>FD-017</t>
        </is>
      </c>
      <c r="B20" t="inlineStr">
        <is>
          <t>Feature</t>
        </is>
      </c>
      <c r="D20" t="inlineStr">
        <is>
          <t>Profile photo</t>
        </is>
      </c>
      <c r="E20" t="inlineStr">
        <is>
          <t>A reference to the candidate's photo.</t>
        </is>
      </c>
      <c r="F20" t="inlineStr">
        <is>
          <t>Profile</t>
        </is>
      </c>
      <c r="G20" t="inlineStr">
        <is>
          <t>Candidate</t>
        </is>
      </c>
      <c r="H20" t="inlineStr">
        <is>
          <t>Competitor register</t>
        </is>
      </c>
      <c r="I20" t="inlineStr">
        <is>
          <t>Section 1: Candidate profile (row 17)</t>
        </is>
      </c>
      <c r="J20" t="inlineStr">
        <is>
          <t>General</t>
        </is>
      </c>
      <c r="K20" t="inlineStr">
        <is>
          <t>SHOULD-HAVE</t>
        </is>
      </c>
      <c r="L20" t="inlineStr">
        <is>
          <t>Competitor matrix rule</t>
        </is>
      </c>
      <c r="M20" t="inlineStr">
        <is>
          <t>2 of 3 studied leaders offer it (Naukri, LinkedIn); 0 not verified.</t>
        </is>
      </c>
      <c r="N20" t="inlineStr">
        <is>
          <t>Firm</t>
        </is>
      </c>
      <c r="O20" t="inlineStr">
        <is>
          <t>Known</t>
        </is>
      </c>
      <c r="P20" t="inlineStr">
        <is>
          <t>Built and tested</t>
        </is>
      </c>
      <c r="Q20" t="inlineStr">
        <is>
          <t>Matches</t>
        </is>
      </c>
      <c r="R20" t="inlineStr">
        <is>
          <t>Register</t>
        </is>
      </c>
      <c r="S20" t="inlineStr">
        <is>
          <t>Traced</t>
        </is>
      </c>
      <c r="U20" t="inlineStr">
        <is>
          <t>OK</t>
        </is>
      </c>
      <c r="V20" t="inlineStr">
        <is>
          <t>Trace status: Traced to requirement</t>
        </is>
      </c>
    </row>
    <row r="21">
      <c r="A21" t="inlineStr">
        <is>
          <t>FD-018</t>
        </is>
      </c>
      <c r="B21" t="inlineStr">
        <is>
          <t>Feature</t>
        </is>
      </c>
      <c r="D21" t="inlineStr">
        <is>
          <t>Personal details (date of birth, gender, address, contacts)</t>
        </is>
      </c>
      <c r="E21" t="inlineStr">
        <is>
          <t>Date of birth, gender, addresses and several emails and phone numbers, one primary of each type.</t>
        </is>
      </c>
      <c r="F21" t="inlineStr">
        <is>
          <t>Profile</t>
        </is>
      </c>
      <c r="G21" t="inlineStr">
        <is>
          <t>Candidate</t>
        </is>
      </c>
      <c r="H21" t="inlineStr">
        <is>
          <t>Competitor register</t>
        </is>
      </c>
      <c r="I21" t="inlineStr">
        <is>
          <t>Section 1: Candidate profile (row 18)</t>
        </is>
      </c>
      <c r="J21" t="inlineStr">
        <is>
          <t>General</t>
        </is>
      </c>
      <c r="K21" t="inlineStr">
        <is>
          <t>MUST-HAVE</t>
        </is>
      </c>
      <c r="L21" t="inlineStr">
        <is>
          <t>Competitor matrix rule</t>
        </is>
      </c>
      <c r="M21" t="inlineStr">
        <is>
          <t>3 of 3 studied leaders offer it (Naukri, Monster, LinkedIn); 0 not verified.</t>
        </is>
      </c>
      <c r="N21" t="inlineStr">
        <is>
          <t>Firm</t>
        </is>
      </c>
      <c r="O21" t="inlineStr">
        <is>
          <t>Known</t>
        </is>
      </c>
      <c r="P21" t="inlineStr">
        <is>
          <t>Built and tested</t>
        </is>
      </c>
      <c r="Q21" t="inlineStr">
        <is>
          <t>Matches</t>
        </is>
      </c>
      <c r="R21" t="inlineStr">
        <is>
          <t>Register</t>
        </is>
      </c>
      <c r="S21" t="inlineStr">
        <is>
          <t>Traced</t>
        </is>
      </c>
      <c r="U21" t="inlineStr">
        <is>
          <t>OK</t>
        </is>
      </c>
      <c r="V21" t="inlineStr">
        <is>
          <t>Trace status: Traced to requirement</t>
        </is>
      </c>
    </row>
    <row r="22">
      <c r="A22" t="inlineStr">
        <is>
          <t>FD-019</t>
        </is>
      </c>
      <c r="B22" t="inlineStr">
        <is>
          <t>Feature</t>
        </is>
      </c>
      <c r="D22" t="inlineStr">
        <is>
          <t>Identity verification</t>
        </is>
      </c>
      <c r="E22" t="inlineStr">
        <is>
          <t>The outcome of an identity check is stored (status, document type, provider reference), never the document.</t>
        </is>
      </c>
      <c r="F22" t="inlineStr">
        <is>
          <t>Profile</t>
        </is>
      </c>
      <c r="G22" t="inlineStr">
        <is>
          <t>Candidate</t>
        </is>
      </c>
      <c r="H22" t="inlineStr">
        <is>
          <t>Competitor register</t>
        </is>
      </c>
      <c r="I22" t="inlineStr">
        <is>
          <t>Section 1: Candidate profile (row 19)</t>
        </is>
      </c>
      <c r="J22" t="inlineStr">
        <is>
          <t>General</t>
        </is>
      </c>
      <c r="K22" t="inlineStr">
        <is>
          <t>SHOULD-HAVE</t>
        </is>
      </c>
      <c r="L22" t="inlineStr">
        <is>
          <t>Competitor matrix rule</t>
        </is>
      </c>
      <c r="M22" t="inlineStr">
        <is>
          <t>1 of 3 studied leaders offer it (LinkedIn); 1 not verified.</t>
        </is>
      </c>
      <c r="N22" t="inlineStr">
        <is>
          <t>Provisional</t>
        </is>
      </c>
      <c r="O22" t="inlineStr">
        <is>
          <t>Known</t>
        </is>
      </c>
      <c r="P22" t="inlineStr">
        <is>
          <t>Built and tested</t>
        </is>
      </c>
      <c r="Q22" t="inlineStr">
        <is>
          <t>Matches</t>
        </is>
      </c>
      <c r="R22" t="inlineStr">
        <is>
          <t>Register</t>
        </is>
      </c>
      <c r="S22" t="inlineStr">
        <is>
          <t>Traced</t>
        </is>
      </c>
      <c r="U22" t="inlineStr">
        <is>
          <t>OK</t>
        </is>
      </c>
      <c r="V22" t="inlineStr">
        <is>
          <t>Trace status: Traced to requirement</t>
        </is>
      </c>
    </row>
    <row r="23">
      <c r="A23" t="inlineStr">
        <is>
          <t>FD-020</t>
        </is>
      </c>
      <c r="B23" t="inlineStr">
        <is>
          <t>Feature</t>
        </is>
      </c>
      <c r="D23" t="inlineStr">
        <is>
          <t>Names in any script, translated UI text</t>
        </is>
      </c>
      <c r="E23" t="inlineStr">
        <is>
          <t>A name in its own script with a Latin spelling, and screen text translated per language.</t>
        </is>
      </c>
      <c r="F23" t="inlineStr">
        <is>
          <t>Profile</t>
        </is>
      </c>
      <c r="G23" t="inlineStr">
        <is>
          <t>Candidate</t>
        </is>
      </c>
      <c r="H23" t="inlineStr">
        <is>
          <t>Competitor register</t>
        </is>
      </c>
      <c r="I23" t="inlineStr">
        <is>
          <t>Section 1: Candidate profile (row 20)</t>
        </is>
      </c>
      <c r="J23" t="inlineStr">
        <is>
          <t>General</t>
        </is>
      </c>
      <c r="K23" t="inlineStr">
        <is>
          <t>SHOULD-HAVE</t>
        </is>
      </c>
      <c r="L23" t="inlineStr">
        <is>
          <t>Competitor matrix rule</t>
        </is>
      </c>
      <c r="M23" t="inlineStr">
        <is>
          <t>1 of 3 studied leaders offer it (LinkedIn); 1 not verified.</t>
        </is>
      </c>
      <c r="N23" t="inlineStr">
        <is>
          <t>Provisional</t>
        </is>
      </c>
      <c r="O23" t="inlineStr">
        <is>
          <t>Known</t>
        </is>
      </c>
      <c r="P23" t="inlineStr">
        <is>
          <t>Built and tested</t>
        </is>
      </c>
      <c r="Q23" t="inlineStr">
        <is>
          <t>Exceeds</t>
        </is>
      </c>
      <c r="R23" t="inlineStr">
        <is>
          <t>Register</t>
        </is>
      </c>
      <c r="S23" t="inlineStr">
        <is>
          <t>Traced</t>
        </is>
      </c>
      <c r="U23" t="inlineStr">
        <is>
          <t>OK</t>
        </is>
      </c>
      <c r="V23" t="inlineStr">
        <is>
          <t>Trace status: Traced to requirement</t>
        </is>
      </c>
    </row>
    <row r="24">
      <c r="A24" t="inlineStr">
        <is>
          <t>FD-021</t>
        </is>
      </c>
      <c r="B24" t="inlineStr">
        <is>
          <t>Feature</t>
        </is>
      </c>
      <c r="D24" t="inlineStr">
        <is>
          <t>Duplicate profile tracking</t>
        </is>
      </c>
      <c r="E24" t="inlineStr">
        <is>
          <t>Suspected duplicate profiles are linked with a review status instead of being silently merged.</t>
        </is>
      </c>
      <c r="F24" t="inlineStr">
        <is>
          <t>Profile</t>
        </is>
      </c>
      <c r="G24" t="inlineStr">
        <is>
          <t>Platform administrator</t>
        </is>
      </c>
      <c r="H24" t="inlineStr">
        <is>
          <t>Competitor register</t>
        </is>
      </c>
      <c r="I24" t="inlineStr">
        <is>
          <t>Section 1: Candidate profile (row 21)</t>
        </is>
      </c>
      <c r="J24" t="inlineStr">
        <is>
          <t>General</t>
        </is>
      </c>
      <c r="K24" t="inlineStr">
        <is>
          <t>DIFFERENTIATOR</t>
        </is>
      </c>
      <c r="L24" t="inlineStr">
        <is>
          <t>Competitor matrix rule</t>
        </is>
      </c>
      <c r="M24" t="inlineStr">
        <is>
          <t>0 of 3 studied leaders offer it; 0 not verified.</t>
        </is>
      </c>
      <c r="N24" t="inlineStr">
        <is>
          <t>Firm</t>
        </is>
      </c>
      <c r="O24" t="inlineStr">
        <is>
          <t>Known</t>
        </is>
      </c>
      <c r="P24" t="inlineStr">
        <is>
          <t>Built and tested</t>
        </is>
      </c>
      <c r="Q24" t="inlineStr">
        <is>
          <t>Exceeds</t>
        </is>
      </c>
      <c r="R24" t="inlineStr">
        <is>
          <t>Register</t>
        </is>
      </c>
      <c r="S24" t="inlineStr">
        <is>
          <t>Traced</t>
        </is>
      </c>
      <c r="U24" t="inlineStr">
        <is>
          <t>OK</t>
        </is>
      </c>
      <c r="V24" t="inlineStr">
        <is>
          <t>Trace status: Traced to requirement</t>
        </is>
      </c>
    </row>
    <row r="25">
      <c r="A25" t="inlineStr">
        <is>
          <t>FD-022</t>
        </is>
      </c>
      <c r="B25" t="inlineStr">
        <is>
          <t>Feature</t>
        </is>
      </c>
      <c r="D25" t="inlineStr">
        <is>
          <t>Resume upload and builder</t>
        </is>
      </c>
      <c r="E25" t="inlineStr">
        <is>
          <t>Upload a resume or build one from templates; every change is a new version.</t>
        </is>
      </c>
      <c r="F25" t="inlineStr">
        <is>
          <t>Profile</t>
        </is>
      </c>
      <c r="G25" t="inlineStr">
        <is>
          <t>Candidate</t>
        </is>
      </c>
      <c r="H25" t="inlineStr">
        <is>
          <t>Competitor register</t>
        </is>
      </c>
      <c r="I25" t="inlineStr">
        <is>
          <t>Section 2: Resume handling (row 22)</t>
        </is>
      </c>
      <c r="J25" t="inlineStr">
        <is>
          <t>General</t>
        </is>
      </c>
      <c r="K25" t="inlineStr">
        <is>
          <t>MUST-HAVE</t>
        </is>
      </c>
      <c r="L25" t="inlineStr">
        <is>
          <t>Competitor matrix rule</t>
        </is>
      </c>
      <c r="M25" t="inlineStr">
        <is>
          <t>3 of 3 studied leaders offer it (Naukri, Monster, LinkedIn); 0 not verified.</t>
        </is>
      </c>
      <c r="N25" t="inlineStr">
        <is>
          <t>Firm</t>
        </is>
      </c>
      <c r="O25" t="inlineStr">
        <is>
          <t>Public</t>
        </is>
      </c>
      <c r="P25" t="inlineStr">
        <is>
          <t>Built and tested</t>
        </is>
      </c>
      <c r="Q25" t="inlineStr">
        <is>
          <t>Matches</t>
        </is>
      </c>
      <c r="R25" t="inlineStr">
        <is>
          <t>Register</t>
        </is>
      </c>
      <c r="S25" t="inlineStr">
        <is>
          <t>Traced</t>
        </is>
      </c>
      <c r="U25" t="inlineStr">
        <is>
          <t>OK</t>
        </is>
      </c>
      <c r="V25" t="inlineStr">
        <is>
          <t>Trace status: Traced to requirement</t>
        </is>
      </c>
    </row>
    <row r="26">
      <c r="A26" t="inlineStr">
        <is>
          <t>FD-023</t>
        </is>
      </c>
      <c r="B26" t="inlineStr">
        <is>
          <t>Feature</t>
        </is>
      </c>
      <c r="D26" t="inlineStr">
        <is>
          <t>Several resumes per person</t>
        </is>
      </c>
      <c r="E26" t="inlineStr">
        <is>
          <t>A candidate keeps several resumes, one default, each with many versions.</t>
        </is>
      </c>
      <c r="F26" t="inlineStr">
        <is>
          <t>Profile</t>
        </is>
      </c>
      <c r="G26" t="inlineStr">
        <is>
          <t>Candidate</t>
        </is>
      </c>
      <c r="H26" t="inlineStr">
        <is>
          <t>Competitor register</t>
        </is>
      </c>
      <c r="I26" t="inlineStr">
        <is>
          <t>Section 2: Resume handling (row 23)</t>
        </is>
      </c>
      <c r="J26" t="inlineStr">
        <is>
          <t>General</t>
        </is>
      </c>
      <c r="K26" t="inlineStr">
        <is>
          <t>DIFFERENTIATOR</t>
        </is>
      </c>
      <c r="L26" t="inlineStr">
        <is>
          <t>Competitor matrix rule</t>
        </is>
      </c>
      <c r="M26" t="inlineStr">
        <is>
          <t>1 of 3 studied leaders offer it (Naukri); 0 not verified.</t>
        </is>
      </c>
      <c r="N26" t="inlineStr">
        <is>
          <t>Firm</t>
        </is>
      </c>
      <c r="O26" t="inlineStr">
        <is>
          <t>Public</t>
        </is>
      </c>
      <c r="P26" t="inlineStr">
        <is>
          <t>Built and tested</t>
        </is>
      </c>
      <c r="Q26" t="inlineStr">
        <is>
          <t>Exceeds</t>
        </is>
      </c>
      <c r="R26" t="inlineStr">
        <is>
          <t>Register</t>
        </is>
      </c>
      <c r="S26" t="inlineStr">
        <is>
          <t>Traced</t>
        </is>
      </c>
      <c r="U26" t="inlineStr">
        <is>
          <t>OK</t>
        </is>
      </c>
      <c r="V26" t="inlineStr">
        <is>
          <t>Trace status: Traced to requirement</t>
        </is>
      </c>
    </row>
    <row r="27">
      <c r="A27" t="inlineStr">
        <is>
          <t>FD-024</t>
        </is>
      </c>
      <c r="B27" t="inlineStr">
        <is>
          <t>Feature</t>
        </is>
      </c>
      <c r="D27" t="inlineStr">
        <is>
          <t>Confidential resume (hide contact and current employer)</t>
        </is>
      </c>
      <c r="E27" t="inlineStr">
        <is>
          <t>A resume can be marked confidential: contact details and the current employer are hidden from employer searches.</t>
        </is>
      </c>
      <c r="F27" t="inlineStr">
        <is>
          <t>Profile</t>
        </is>
      </c>
      <c r="G27" t="inlineStr">
        <is>
          <t>Candidate</t>
        </is>
      </c>
      <c r="H27" t="inlineStr">
        <is>
          <t>Competitor register</t>
        </is>
      </c>
      <c r="I27" t="inlineStr">
        <is>
          <t>Section 2: Resume handling (row 24)</t>
        </is>
      </c>
      <c r="J27" t="inlineStr">
        <is>
          <t>General</t>
        </is>
      </c>
      <c r="K27" t="inlineStr">
        <is>
          <t>SHOULD-HAVE</t>
        </is>
      </c>
      <c r="L27" t="inlineStr">
        <is>
          <t>Competitor matrix rule</t>
        </is>
      </c>
      <c r="M27" t="inlineStr">
        <is>
          <t>2 of 3 studied leaders offer it (Monster, LinkedIn); 1 not verified.</t>
        </is>
      </c>
      <c r="N27" t="inlineStr">
        <is>
          <t>Provisional</t>
        </is>
      </c>
      <c r="O27" t="inlineStr">
        <is>
          <t>Public</t>
        </is>
      </c>
      <c r="P27" t="inlineStr">
        <is>
          <t>Built and tested</t>
        </is>
      </c>
      <c r="Q27" t="inlineStr">
        <is>
          <t>Matches</t>
        </is>
      </c>
      <c r="R27" t="inlineStr">
        <is>
          <t>Register</t>
        </is>
      </c>
      <c r="S27" t="inlineStr">
        <is>
          <t>Traced</t>
        </is>
      </c>
      <c r="U27" t="inlineStr">
        <is>
          <t>OK</t>
        </is>
      </c>
      <c r="V27" t="inlineStr">
        <is>
          <t>Trace status: Traced to requirement</t>
        </is>
      </c>
    </row>
    <row r="28">
      <c r="A28" t="inlineStr">
        <is>
          <t>FD-025</t>
        </is>
      </c>
      <c r="B28" t="inlineStr">
        <is>
          <t>Feature</t>
        </is>
      </c>
      <c r="D28" t="inlineStr">
        <is>
          <t>Resume database search with 20+ filters</t>
        </is>
      </c>
      <c r="E28" t="inlineStr">
        <is>
          <t>Recruiters search candidates with many filters. The data supports the filters; the search indexes are measured in Phase 5.</t>
        </is>
      </c>
      <c r="F28" t="inlineStr">
        <is>
          <t>Search</t>
        </is>
      </c>
      <c r="G28" t="inlineStr">
        <is>
          <t>Recruiter</t>
        </is>
      </c>
      <c r="H28" t="inlineStr">
        <is>
          <t>Competitor register</t>
        </is>
      </c>
      <c r="I28" t="inlineStr">
        <is>
          <t>Section 3: Employer and recruiter side (row 25)</t>
        </is>
      </c>
      <c r="J28" t="inlineStr">
        <is>
          <t>General</t>
        </is>
      </c>
      <c r="K28" t="inlineStr">
        <is>
          <t>MUST-HAVE</t>
        </is>
      </c>
      <c r="L28" t="inlineStr">
        <is>
          <t>Competitor matrix rule</t>
        </is>
      </c>
      <c r="M28" t="inlineStr">
        <is>
          <t>3 of 3 studied leaders offer it (Naukri, Monster, LinkedIn); 0 not verified.</t>
        </is>
      </c>
      <c r="N28" t="inlineStr">
        <is>
          <t>Firm</t>
        </is>
      </c>
      <c r="O28" t="inlineStr">
        <is>
          <t>Public</t>
        </is>
      </c>
      <c r="P28" t="inlineStr">
        <is>
          <t>Built</t>
        </is>
      </c>
      <c r="Q28" t="inlineStr">
        <is>
          <t>Matches</t>
        </is>
      </c>
      <c r="R28" t="inlineStr">
        <is>
          <t>Register</t>
        </is>
      </c>
      <c r="S28" t="inlineStr">
        <is>
          <t>Traced</t>
        </is>
      </c>
      <c r="U28" t="inlineStr">
        <is>
          <t>OK</t>
        </is>
      </c>
      <c r="V28" t="inlineStr">
        <is>
          <t>Trace status: Traced to requirement</t>
        </is>
      </c>
    </row>
    <row r="29">
      <c r="A29" t="inlineStr">
        <is>
          <t>FD-026</t>
        </is>
      </c>
      <c r="B29" t="inlineStr">
        <is>
          <t>Feature</t>
        </is>
      </c>
      <c r="D29" t="inlineStr">
        <is>
          <t>Credits for viewing, calling, forwarding a profile</t>
        </is>
      </c>
      <c r="E29" t="inlineStr">
        <is>
          <t>Viewing, calling or downloading a profile costs credits from the organisation's wallet; each charge is a ledger entry linked to the view.</t>
        </is>
      </c>
      <c r="F29" t="inlineStr">
        <is>
          <t>Licences, subscriptions and wallet</t>
        </is>
      </c>
      <c r="G29" t="inlineStr">
        <is>
          <t>Recruiter</t>
        </is>
      </c>
      <c r="H29" t="inlineStr">
        <is>
          <t>Competitor register</t>
        </is>
      </c>
      <c r="I29" t="inlineStr">
        <is>
          <t>Section 3: Employer and recruiter side (row 26)</t>
        </is>
      </c>
      <c r="J29" t="inlineStr">
        <is>
          <t>General</t>
        </is>
      </c>
      <c r="K29" t="inlineStr">
        <is>
          <t>MUST-HAVE</t>
        </is>
      </c>
      <c r="L29" t="inlineStr">
        <is>
          <t>Competitor matrix rule</t>
        </is>
      </c>
      <c r="M29" t="inlineStr">
        <is>
          <t>3 of 3 studied leaders offer it (Naukri, Monster, LinkedIn); 0 not verified.</t>
        </is>
      </c>
      <c r="N29" t="inlineStr">
        <is>
          <t>Firm</t>
        </is>
      </c>
      <c r="O29" t="inlineStr">
        <is>
          <t>Public</t>
        </is>
      </c>
      <c r="P29" t="inlineStr">
        <is>
          <t>Built and tested</t>
        </is>
      </c>
      <c r="Q29" t="inlineStr">
        <is>
          <t>Matches</t>
        </is>
      </c>
      <c r="R29" t="inlineStr">
        <is>
          <t>Register</t>
        </is>
      </c>
      <c r="S29" t="inlineStr">
        <is>
          <t>Traced</t>
        </is>
      </c>
      <c r="U29" t="inlineStr">
        <is>
          <t>OK</t>
        </is>
      </c>
      <c r="V29" t="inlineStr">
        <is>
          <t>Trace status: Traced to requirement</t>
        </is>
      </c>
    </row>
    <row r="30">
      <c r="A30" t="inlineStr">
        <is>
          <t>FD-027</t>
        </is>
      </c>
      <c r="B30" t="inlineStr">
        <is>
          <t>Feature</t>
        </is>
      </c>
      <c r="D30" t="inlineStr">
        <is>
          <t>Repeat access within 90 days costs no extra credit</t>
        </is>
      </c>
      <c r="E30" t="inlineStr">
        <is>
          <t>After one paid access, repeat access inside the period costs no credit.</t>
        </is>
      </c>
      <c r="F30" t="inlineStr">
        <is>
          <t>Licences, subscriptions and wallet</t>
        </is>
      </c>
      <c r="G30" t="inlineStr">
        <is>
          <t>Recruiter</t>
        </is>
      </c>
      <c r="H30" t="inlineStr">
        <is>
          <t>Competitor register</t>
        </is>
      </c>
      <c r="I30" t="inlineStr">
        <is>
          <t>Section 3: Employer and recruiter side (row 27)</t>
        </is>
      </c>
      <c r="J30" t="inlineStr">
        <is>
          <t>General</t>
        </is>
      </c>
      <c r="K30" t="inlineStr">
        <is>
          <t>SHOULD-HAVE</t>
        </is>
      </c>
      <c r="L30" t="inlineStr">
        <is>
          <t>Competitor matrix rule</t>
        </is>
      </c>
      <c r="M30" t="inlineStr">
        <is>
          <t>2 of 3 studied leaders offer it (Naukri, Monster); 0 not verified.</t>
        </is>
      </c>
      <c r="N30" t="inlineStr">
        <is>
          <t>Firm</t>
        </is>
      </c>
      <c r="O30" t="inlineStr">
        <is>
          <t>Public</t>
        </is>
      </c>
      <c r="P30" t="inlineStr">
        <is>
          <t>Built and tested</t>
        </is>
      </c>
      <c r="Q30" t="inlineStr">
        <is>
          <t>Matches</t>
        </is>
      </c>
      <c r="R30" t="inlineStr">
        <is>
          <t>Register</t>
        </is>
      </c>
      <c r="S30" t="inlineStr">
        <is>
          <t>Traced</t>
        </is>
      </c>
      <c r="U30" t="inlineStr">
        <is>
          <t>OK</t>
        </is>
      </c>
      <c r="V30" t="inlineStr">
        <is>
          <t>Trace status: Traced to requirement</t>
        </is>
      </c>
    </row>
    <row r="31">
      <c r="A31" t="inlineStr">
        <is>
          <t>FD-028</t>
        </is>
      </c>
      <c r="B31" t="inlineStr">
        <is>
          <t>Feature</t>
        </is>
      </c>
      <c r="D31" t="inlineStr">
        <is>
          <t>Bulk email, up to 160 resumes at a time</t>
        </is>
      </c>
      <c r="E31" t="inlineStr">
        <is>
          <t>Mail to many candidates at once, in batches with follow-ups. Talentra records each contact but does not model batches or follow-up schedules.</t>
        </is>
      </c>
      <c r="F31" t="inlineStr">
        <is>
          <t>Consultants and sourcing</t>
        </is>
      </c>
      <c r="G31" t="inlineStr">
        <is>
          <t>Recruiter</t>
        </is>
      </c>
      <c r="H31" t="inlineStr">
        <is>
          <t>Competitor register</t>
        </is>
      </c>
      <c r="I31" t="inlineStr">
        <is>
          <t>Section 3: Employer and recruiter side (row 28)</t>
        </is>
      </c>
      <c r="J31" t="inlineStr">
        <is>
          <t>General</t>
        </is>
      </c>
      <c r="K31" t="inlineStr">
        <is>
          <t>MUST-HAVE</t>
        </is>
      </c>
      <c r="L31" t="inlineStr">
        <is>
          <t>Competitor matrix rule</t>
        </is>
      </c>
      <c r="M31" t="inlineStr">
        <is>
          <t>3 of 3 studied leaders offer it (Naukri, Monster, LinkedIn); 0 not verified.</t>
        </is>
      </c>
      <c r="N31" t="inlineStr">
        <is>
          <t>Firm</t>
        </is>
      </c>
      <c r="O31" t="inlineStr">
        <is>
          <t>Known</t>
        </is>
      </c>
      <c r="P31" t="inlineStr">
        <is>
          <t>Deliberately left out</t>
        </is>
      </c>
      <c r="Q31" t="inlineStr">
        <is>
          <t>Falls short</t>
        </is>
      </c>
      <c r="R31" t="inlineStr">
        <is>
          <t>Register</t>
        </is>
      </c>
      <c r="S31" t="inlineStr">
        <is>
          <t>Traced</t>
        </is>
      </c>
      <c r="U31" t="inlineStr">
        <is>
          <t>OK</t>
        </is>
      </c>
      <c r="V31" t="inlineStr">
        <is>
          <t>Trace status: Traced to requirement</t>
        </is>
      </c>
    </row>
    <row r="32">
      <c r="A32" t="inlineStr">
        <is>
          <t>FD-029</t>
        </is>
      </c>
      <c r="B32" t="inlineStr">
        <is>
          <t>Feature</t>
        </is>
      </c>
      <c r="D32" t="inlineStr">
        <is>
          <t>Folders of accessed or saved candidates</t>
        </is>
      </c>
      <c r="E32" t="inlineStr">
        <is>
          <t>Recruiters keep candidates in bookmarks and shortlists for a job.</t>
        </is>
      </c>
      <c r="F32" t="inlineStr">
        <is>
          <t>Hiring workflow</t>
        </is>
      </c>
      <c r="G32" t="inlineStr">
        <is>
          <t>Recruiter</t>
        </is>
      </c>
      <c r="H32" t="inlineStr">
        <is>
          <t>Competitor register</t>
        </is>
      </c>
      <c r="I32" t="inlineStr">
        <is>
          <t>Section 3: Employer and recruiter side (row 29)</t>
        </is>
      </c>
      <c r="J32" t="inlineStr">
        <is>
          <t>General</t>
        </is>
      </c>
      <c r="K32" t="inlineStr">
        <is>
          <t>MUST-HAVE</t>
        </is>
      </c>
      <c r="L32" t="inlineStr">
        <is>
          <t>Competitor matrix rule</t>
        </is>
      </c>
      <c r="M32" t="inlineStr">
        <is>
          <t>3 of 3 studied leaders offer it (Naukri, Monster, LinkedIn); 0 not verified.</t>
        </is>
      </c>
      <c r="N32" t="inlineStr">
        <is>
          <t>Firm</t>
        </is>
      </c>
      <c r="O32" t="inlineStr">
        <is>
          <t>Public</t>
        </is>
      </c>
      <c r="P32" t="inlineStr">
        <is>
          <t>Built</t>
        </is>
      </c>
      <c r="Q32" t="inlineStr">
        <is>
          <t>Matches</t>
        </is>
      </c>
      <c r="R32" t="inlineStr">
        <is>
          <t>Register</t>
        </is>
      </c>
      <c r="S32" t="inlineStr">
        <is>
          <t>Traced</t>
        </is>
      </c>
      <c r="U32" t="inlineStr">
        <is>
          <t>OK</t>
        </is>
      </c>
      <c r="V32" t="inlineStr">
        <is>
          <t>Trace status: Traced to requirement</t>
        </is>
      </c>
    </row>
    <row r="33">
      <c r="A33" t="inlineStr">
        <is>
          <t>FD-030</t>
        </is>
      </c>
      <c r="B33" t="inlineStr">
        <is>
          <t>Feature</t>
        </is>
      </c>
      <c r="D33" t="inlineStr">
        <is>
          <t>Who viewed which profile, and when</t>
        </is>
      </c>
      <c r="E33" t="inlineStr">
        <is>
          <t>Every profile view is recorded, so the candidate and the credit charge can be checked.</t>
        </is>
      </c>
      <c r="F33" t="inlineStr">
        <is>
          <t>Profile</t>
        </is>
      </c>
      <c r="G33" t="inlineStr">
        <is>
          <t>Candidate</t>
        </is>
      </c>
      <c r="H33" t="inlineStr">
        <is>
          <t>Competitor register</t>
        </is>
      </c>
      <c r="I33" t="inlineStr">
        <is>
          <t>Section 3: Employer and recruiter side (row 30)</t>
        </is>
      </c>
      <c r="J33" t="inlineStr">
        <is>
          <t>General</t>
        </is>
      </c>
      <c r="K33" t="inlineStr">
        <is>
          <t>SHOULD-HAVE</t>
        </is>
      </c>
      <c r="L33" t="inlineStr">
        <is>
          <t>Competitor matrix rule</t>
        </is>
      </c>
      <c r="M33" t="inlineStr">
        <is>
          <t>2 of 3 studied leaders offer it (Naukri, LinkedIn); 1 not verified.</t>
        </is>
      </c>
      <c r="N33" t="inlineStr">
        <is>
          <t>Provisional</t>
        </is>
      </c>
      <c r="O33" t="inlineStr">
        <is>
          <t>Known</t>
        </is>
      </c>
      <c r="P33" t="inlineStr">
        <is>
          <t>Built and tested</t>
        </is>
      </c>
      <c r="Q33" t="inlineStr">
        <is>
          <t>Matches</t>
        </is>
      </c>
      <c r="R33" t="inlineStr">
        <is>
          <t>Register</t>
        </is>
      </c>
      <c r="S33" t="inlineStr">
        <is>
          <t>Traced</t>
        </is>
      </c>
      <c r="U33" t="inlineStr">
        <is>
          <t>OK</t>
        </is>
      </c>
      <c r="V33" t="inlineStr">
        <is>
          <t>Trace status: Traced to requirement</t>
        </is>
      </c>
    </row>
    <row r="34">
      <c r="A34" t="inlineStr">
        <is>
          <t>FD-031</t>
        </is>
      </c>
      <c r="B34" t="inlineStr">
        <is>
          <t>Feature</t>
        </is>
      </c>
      <c r="D34" t="inlineStr">
        <is>
          <t>Download history with credit charge</t>
        </is>
      </c>
      <c r="E34" t="inlineStr">
        <is>
          <t>Each profile download is recorded with who, which organisation, which candidate, which format, and the credit charge.</t>
        </is>
      </c>
      <c r="F34" t="inlineStr">
        <is>
          <t>Licences, subscriptions and wallet</t>
        </is>
      </c>
      <c r="G34" t="inlineStr">
        <is>
          <t>Recruiter</t>
        </is>
      </c>
      <c r="H34" t="inlineStr">
        <is>
          <t>Competitor register</t>
        </is>
      </c>
      <c r="I34" t="inlineStr">
        <is>
          <t>Section 3: Employer and recruiter side (row 31)</t>
        </is>
      </c>
      <c r="J34" t="inlineStr">
        <is>
          <t>General</t>
        </is>
      </c>
      <c r="K34" t="inlineStr">
        <is>
          <t>SHOULD-HAVE</t>
        </is>
      </c>
      <c r="L34" t="inlineStr">
        <is>
          <t>Competitor matrix rule</t>
        </is>
      </c>
      <c r="M34" t="inlineStr">
        <is>
          <t>1 of 3 studied leaders offer it (Naukri); 1 not verified.</t>
        </is>
      </c>
      <c r="N34" t="inlineStr">
        <is>
          <t>Provisional</t>
        </is>
      </c>
      <c r="O34" t="inlineStr">
        <is>
          <t>Public</t>
        </is>
      </c>
      <c r="P34" t="inlineStr">
        <is>
          <t>Built and tested</t>
        </is>
      </c>
      <c r="Q34" t="inlineStr">
        <is>
          <t>Matches</t>
        </is>
      </c>
      <c r="R34" t="inlineStr">
        <is>
          <t>Register</t>
        </is>
      </c>
      <c r="S34" t="inlineStr">
        <is>
          <t>Traced</t>
        </is>
      </c>
      <c r="U34" t="inlineStr">
        <is>
          <t>OK</t>
        </is>
      </c>
      <c r="V34" t="inlineStr">
        <is>
          <t>Trace status: Traced to requirement</t>
        </is>
      </c>
    </row>
    <row r="35">
      <c r="A35" t="inlineStr">
        <is>
          <t>FD-032</t>
        </is>
      </c>
      <c r="B35" t="inlineStr">
        <is>
          <t>Feature</t>
        </is>
      </c>
      <c r="D35" t="inlineStr">
        <is>
          <t>Team users, seats, device limits</t>
        </is>
      </c>
      <c r="E35" t="inlineStr">
        <is>
          <t>An organisation licence has a user limit, a device limit per user and a session limit, and the limits hold when two people sign in at once.</t>
        </is>
      </c>
      <c r="F35" t="inlineStr">
        <is>
          <t>Licences, subscriptions and wallet</t>
        </is>
      </c>
      <c r="G35" t="inlineStr">
        <is>
          <t>Organisation administrator</t>
        </is>
      </c>
      <c r="H35" t="inlineStr">
        <is>
          <t>Competitor register</t>
        </is>
      </c>
      <c r="I35" t="inlineStr">
        <is>
          <t>Section 3: Employer and recruiter side (row 32)</t>
        </is>
      </c>
      <c r="J35" t="inlineStr">
        <is>
          <t>General</t>
        </is>
      </c>
      <c r="K35" t="inlineStr">
        <is>
          <t>SHOULD-HAVE</t>
        </is>
      </c>
      <c r="L35" t="inlineStr">
        <is>
          <t>Competitor matrix rule</t>
        </is>
      </c>
      <c r="M35" t="inlineStr">
        <is>
          <t>2 of 3 studied leaders offer it (Naukri, LinkedIn); 1 not verified.</t>
        </is>
      </c>
      <c r="N35" t="inlineStr">
        <is>
          <t>Provisional</t>
        </is>
      </c>
      <c r="O35" t="inlineStr">
        <is>
          <t>Public</t>
        </is>
      </c>
      <c r="P35" t="inlineStr">
        <is>
          <t>Built and tested</t>
        </is>
      </c>
      <c r="Q35" t="inlineStr">
        <is>
          <t>Exceeds</t>
        </is>
      </c>
      <c r="R35" t="inlineStr">
        <is>
          <t>Register</t>
        </is>
      </c>
      <c r="S35" t="inlineStr">
        <is>
          <t>Traced</t>
        </is>
      </c>
      <c r="U35" t="inlineStr">
        <is>
          <t>OK</t>
        </is>
      </c>
      <c r="V35" t="inlineStr">
        <is>
          <t>Trace status: Traced to requirement</t>
        </is>
      </c>
    </row>
    <row r="36">
      <c r="A36" t="inlineStr">
        <is>
          <t>FD-033</t>
        </is>
      </c>
      <c r="B36" t="inlineStr">
        <is>
          <t>Feature</t>
        </is>
      </c>
      <c r="D36" t="inlineStr">
        <is>
          <t>Company details, locations, tax ids, verification</t>
        </is>
      </c>
      <c r="E36" t="inlineStr">
        <is>
          <t>Organisations with locations, a head office, tax and registration numbers, and verification history.</t>
        </is>
      </c>
      <c r="F36" t="inlineStr">
        <is>
          <t>Organisation and admin</t>
        </is>
      </c>
      <c r="G36" t="inlineStr">
        <is>
          <t>Organisation administrator</t>
        </is>
      </c>
      <c r="H36" t="inlineStr">
        <is>
          <t>Competitor register</t>
        </is>
      </c>
      <c r="I36" t="inlineStr">
        <is>
          <t>Section 3: Employer and recruiter side (row 33)</t>
        </is>
      </c>
      <c r="J36" t="inlineStr">
        <is>
          <t>General</t>
        </is>
      </c>
      <c r="K36" t="inlineStr">
        <is>
          <t>SHOULD-HAVE</t>
        </is>
      </c>
      <c r="L36" t="inlineStr">
        <is>
          <t>Competitor matrix rule</t>
        </is>
      </c>
      <c r="M36" t="inlineStr">
        <is>
          <t>1 of 3 studied leaders offer it (LinkedIn); 2 not verified.</t>
        </is>
      </c>
      <c r="N36" t="inlineStr">
        <is>
          <t>Provisional</t>
        </is>
      </c>
      <c r="O36" t="inlineStr">
        <is>
          <t>Known</t>
        </is>
      </c>
      <c r="P36" t="inlineStr">
        <is>
          <t>Built and tested</t>
        </is>
      </c>
      <c r="Q36" t="inlineStr">
        <is>
          <t>Matches</t>
        </is>
      </c>
      <c r="R36" t="inlineStr">
        <is>
          <t>Register</t>
        </is>
      </c>
      <c r="S36" t="inlineStr">
        <is>
          <t>Traced</t>
        </is>
      </c>
      <c r="U36" t="inlineStr">
        <is>
          <t>OK</t>
        </is>
      </c>
      <c r="V36" t="inlineStr">
        <is>
          <t>Trace status: Traced to requirement</t>
        </is>
      </c>
    </row>
    <row r="37">
      <c r="A37" t="inlineStr">
        <is>
          <t>FD-034</t>
        </is>
      </c>
      <c r="B37" t="inlineStr">
        <is>
          <t>Feature</t>
        </is>
      </c>
      <c r="D37" t="inlineStr">
        <is>
          <t>Company reviews and salary data</t>
        </is>
      </c>
      <c r="E37" t="inlineStr">
        <is>
          <t>Employee reviews and salary data about a company.</t>
        </is>
      </c>
      <c r="F37" t="inlineStr">
        <is>
          <t>Organisation and admin</t>
        </is>
      </c>
      <c r="G37" t="inlineStr">
        <is>
          <t>Candidate</t>
        </is>
      </c>
      <c r="H37" t="inlineStr">
        <is>
          <t>Competitor register</t>
        </is>
      </c>
      <c r="I37" t="inlineStr">
        <is>
          <t>Section 3: Employer and recruiter side (row 34)</t>
        </is>
      </c>
      <c r="J37" t="inlineStr">
        <is>
          <t>General</t>
        </is>
      </c>
      <c r="K37" t="inlineStr">
        <is>
          <t>SHOULD-HAVE</t>
        </is>
      </c>
      <c r="L37" t="inlineStr">
        <is>
          <t>Competitor matrix rule</t>
        </is>
      </c>
      <c r="M37" t="inlineStr">
        <is>
          <t>2 of 3 studied leaders offer it (Naukri, LinkedIn); 1 not verified.</t>
        </is>
      </c>
      <c r="N37" t="inlineStr">
        <is>
          <t>Provisional</t>
        </is>
      </c>
      <c r="O37" t="inlineStr">
        <is>
          <t>Known</t>
        </is>
      </c>
      <c r="P37" t="inlineStr">
        <is>
          <t>Deliberately left out</t>
        </is>
      </c>
      <c r="Q37" t="inlineStr">
        <is>
          <t>Falls short</t>
        </is>
      </c>
      <c r="R37" t="inlineStr">
        <is>
          <t>Register</t>
        </is>
      </c>
      <c r="S37" t="inlineStr">
        <is>
          <t>New insight</t>
        </is>
      </c>
      <c r="U37" t="inlineStr">
        <is>
          <t>OK</t>
        </is>
      </c>
      <c r="V37" t="inlineStr">
        <is>
          <t>Trace status: NEW INSIGHT</t>
        </is>
      </c>
    </row>
    <row r="38">
      <c r="A38" t="inlineStr">
        <is>
          <t>FD-035</t>
        </is>
      </c>
      <c r="B38" t="inlineStr">
        <is>
          <t>Feature</t>
        </is>
      </c>
      <c r="D38" t="inlineStr">
        <is>
          <t>Credits that expire (monthly allowance)</t>
        </is>
      </c>
      <c r="E38" t="inlineStr">
        <is>
          <t>Credits can expire, and a function takes back the unspent part.</t>
        </is>
      </c>
      <c r="F38" t="inlineStr">
        <is>
          <t>Licences, subscriptions and wallet</t>
        </is>
      </c>
      <c r="G38" t="inlineStr">
        <is>
          <t>Organisation administrator</t>
        </is>
      </c>
      <c r="H38" t="inlineStr">
        <is>
          <t>Competitor register</t>
        </is>
      </c>
      <c r="I38" t="inlineStr">
        <is>
          <t>Section 3: Employer and recruiter side (row 35)</t>
        </is>
      </c>
      <c r="J38" t="inlineStr">
        <is>
          <t>General</t>
        </is>
      </c>
      <c r="K38" t="inlineStr">
        <is>
          <t>SHOULD-HAVE</t>
        </is>
      </c>
      <c r="L38" t="inlineStr">
        <is>
          <t>Competitor matrix rule</t>
        </is>
      </c>
      <c r="M38" t="inlineStr">
        <is>
          <t>1 of 3 studied leaders offer it (Monster); 1 not verified.</t>
        </is>
      </c>
      <c r="N38" t="inlineStr">
        <is>
          <t>Provisional</t>
        </is>
      </c>
      <c r="O38" t="inlineStr">
        <is>
          <t>Public</t>
        </is>
      </c>
      <c r="P38" t="inlineStr">
        <is>
          <t>Built and tested</t>
        </is>
      </c>
      <c r="Q38" t="inlineStr">
        <is>
          <t>Matches</t>
        </is>
      </c>
      <c r="R38" t="inlineStr">
        <is>
          <t>Register</t>
        </is>
      </c>
      <c r="S38" t="inlineStr">
        <is>
          <t>Traced</t>
        </is>
      </c>
      <c r="U38" t="inlineStr">
        <is>
          <t>OK</t>
        </is>
      </c>
      <c r="V38" t="inlineStr">
        <is>
          <t>Trace status: Traced to requirement</t>
        </is>
      </c>
    </row>
    <row r="39">
      <c r="A39" t="inlineStr">
        <is>
          <t>FD-036</t>
        </is>
      </c>
      <c r="B39" t="inlineStr">
        <is>
          <t>Feature</t>
        </is>
      </c>
      <c r="D39" t="inlineStr">
        <is>
          <t>Employer saved searches with email alerts on new matches</t>
        </is>
      </c>
      <c r="E39" t="inlineStr">
        <is>
          <t>A recruiter saves a search and gets an alert when new candidates match.</t>
        </is>
      </c>
      <c r="F39" t="inlineStr">
        <is>
          <t>Search</t>
        </is>
      </c>
      <c r="G39" t="inlineStr">
        <is>
          <t>Recruiter</t>
        </is>
      </c>
      <c r="H39" t="inlineStr">
        <is>
          <t>Competitor register</t>
        </is>
      </c>
      <c r="I39" t="inlineStr">
        <is>
          <t>Section 3: Employer and recruiter side (row 36)</t>
        </is>
      </c>
      <c r="J39" t="inlineStr">
        <is>
          <t>General</t>
        </is>
      </c>
      <c r="K39" t="inlineStr">
        <is>
          <t>MUST-HAVE</t>
        </is>
      </c>
      <c r="L39" t="inlineStr">
        <is>
          <t>Competitor matrix rule</t>
        </is>
      </c>
      <c r="M39" t="inlineStr">
        <is>
          <t>3 of 3 studied leaders offer it (Naukri, Monster, LinkedIn); 0 not verified.</t>
        </is>
      </c>
      <c r="N39" t="inlineStr">
        <is>
          <t>Firm</t>
        </is>
      </c>
      <c r="O39" t="inlineStr">
        <is>
          <t>Public</t>
        </is>
      </c>
      <c r="P39" t="inlineStr">
        <is>
          <t>Not built</t>
        </is>
      </c>
      <c r="Q39" t="inlineStr">
        <is>
          <t>Falls short</t>
        </is>
      </c>
      <c r="R39" t="inlineStr">
        <is>
          <t>Register</t>
        </is>
      </c>
      <c r="S39" t="inlineStr">
        <is>
          <t>New insight</t>
        </is>
      </c>
      <c r="U39" t="inlineStr">
        <is>
          <t>OK</t>
        </is>
      </c>
      <c r="V39" t="inlineStr">
        <is>
          <t>Trace status: NEW INSIGHT</t>
        </is>
      </c>
    </row>
    <row r="40">
      <c r="A40" t="inlineStr">
        <is>
          <t>FD-037</t>
        </is>
      </c>
      <c r="B40" t="inlineStr">
        <is>
          <t>Feature</t>
        </is>
      </c>
      <c r="D40" t="inlineStr">
        <is>
          <t>Job posting with skills, qualifications, locations, experience range, salary</t>
        </is>
      </c>
      <c r="E40" t="inlineStr">
        <is>
          <t>A job with category, description, experience range, optional salary range, skills, qualifications and locations.</t>
        </is>
      </c>
      <c r="F40" t="inlineStr">
        <is>
          <t>Jobs</t>
        </is>
      </c>
      <c r="G40" t="inlineStr">
        <is>
          <t>Hiring manager</t>
        </is>
      </c>
      <c r="H40" t="inlineStr">
        <is>
          <t>Competitor register</t>
        </is>
      </c>
      <c r="I40" t="inlineStr">
        <is>
          <t>Section 4: Jobs, applications and hiring pipeline (row 37)</t>
        </is>
      </c>
      <c r="J40" t="inlineStr">
        <is>
          <t>General</t>
        </is>
      </c>
      <c r="K40" t="inlineStr">
        <is>
          <t>SHOULD-HAVE</t>
        </is>
      </c>
      <c r="L40" t="inlineStr">
        <is>
          <t>Competitor matrix rule</t>
        </is>
      </c>
      <c r="M40" t="inlineStr">
        <is>
          <t>1 of 3 studied leaders offer it (LinkedIn); 2 not verified.</t>
        </is>
      </c>
      <c r="N40" t="inlineStr">
        <is>
          <t>Provisional</t>
        </is>
      </c>
      <c r="O40" t="inlineStr">
        <is>
          <t>Known</t>
        </is>
      </c>
      <c r="P40" t="inlineStr">
        <is>
          <t>Built and tested</t>
        </is>
      </c>
      <c r="Q40" t="inlineStr">
        <is>
          <t>Matches</t>
        </is>
      </c>
      <c r="R40" t="inlineStr">
        <is>
          <t>Register</t>
        </is>
      </c>
      <c r="S40" t="inlineStr">
        <is>
          <t>Traced</t>
        </is>
      </c>
      <c r="U40" t="inlineStr">
        <is>
          <t>OK</t>
        </is>
      </c>
      <c r="V40" t="inlineStr">
        <is>
          <t>Trace status: Traced to requirement</t>
        </is>
      </c>
    </row>
    <row r="41">
      <c r="A41" t="inlineStr">
        <is>
          <t>FD-038</t>
        </is>
      </c>
      <c r="B41" t="inlineStr">
        <is>
          <t>Feature</t>
        </is>
      </c>
      <c r="D41" t="inlineStr">
        <is>
          <t>Several positions in one posting</t>
        </is>
      </c>
      <c r="E41" t="inlineStr">
        <is>
          <t>One posting can hire for several positions, each with its own role, headcount, location and salary.</t>
        </is>
      </c>
      <c r="F41" t="inlineStr">
        <is>
          <t>Jobs</t>
        </is>
      </c>
      <c r="G41" t="inlineStr">
        <is>
          <t>Hiring manager</t>
        </is>
      </c>
      <c r="H41" t="inlineStr">
        <is>
          <t>Competitor register</t>
        </is>
      </c>
      <c r="I41" t="inlineStr">
        <is>
          <t>Section 4: Jobs, applications and hiring pipeline (row 38)</t>
        </is>
      </c>
      <c r="J41" t="inlineStr">
        <is>
          <t>General</t>
        </is>
      </c>
      <c r="K41" t="inlineStr">
        <is>
          <t>SHOULD-HAVE</t>
        </is>
      </c>
      <c r="L41" t="inlineStr">
        <is>
          <t>Competitor matrix rule</t>
        </is>
      </c>
      <c r="M41" t="inlineStr">
        <is>
          <t>0 of 3 studied leaders offer it; 2 not verified.</t>
        </is>
      </c>
      <c r="N41" t="inlineStr">
        <is>
          <t>Provisional</t>
        </is>
      </c>
      <c r="O41" t="inlineStr">
        <is>
          <t>Known</t>
        </is>
      </c>
      <c r="P41" t="inlineStr">
        <is>
          <t>Built and tested</t>
        </is>
      </c>
      <c r="Q41" t="inlineStr">
        <is>
          <t>Matches</t>
        </is>
      </c>
      <c r="R41" t="inlineStr">
        <is>
          <t>Register</t>
        </is>
      </c>
      <c r="S41" t="inlineStr">
        <is>
          <t>Traced</t>
        </is>
      </c>
      <c r="U41" t="inlineStr">
        <is>
          <t>OK</t>
        </is>
      </c>
      <c r="V41" t="inlineStr">
        <is>
          <t>Trace status: Traced to requirement</t>
        </is>
      </c>
    </row>
    <row r="42">
      <c r="A42" t="inlineStr">
        <is>
          <t>FD-039</t>
        </is>
      </c>
      <c r="B42" t="inlineStr">
        <is>
          <t>Feature</t>
        </is>
      </c>
      <c r="D42" t="inlineStr">
        <is>
          <t>Screening questions</t>
        </is>
      </c>
      <c r="E42" t="inlineStr">
        <is>
          <t>A job carries a questionnaire with typed questions and options; answers are kept with the application.</t>
        </is>
      </c>
      <c r="F42" t="inlineStr">
        <is>
          <t>Applications</t>
        </is>
      </c>
      <c r="G42" t="inlineStr">
        <is>
          <t>Candidate</t>
        </is>
      </c>
      <c r="H42" t="inlineStr">
        <is>
          <t>Competitor register</t>
        </is>
      </c>
      <c r="I42" t="inlineStr">
        <is>
          <t>Section 4: Jobs, applications and hiring pipeline (row 39)</t>
        </is>
      </c>
      <c r="J42" t="inlineStr">
        <is>
          <t>General</t>
        </is>
      </c>
      <c r="K42" t="inlineStr">
        <is>
          <t>MUST-HAVE</t>
        </is>
      </c>
      <c r="L42" t="inlineStr">
        <is>
          <t>Competitor matrix rule</t>
        </is>
      </c>
      <c r="M42" t="inlineStr">
        <is>
          <t>3 of 3 studied leaders offer it (Naukri, Monster, LinkedIn); 0 not verified.</t>
        </is>
      </c>
      <c r="N42" t="inlineStr">
        <is>
          <t>Firm</t>
        </is>
      </c>
      <c r="O42" t="inlineStr">
        <is>
          <t>Public</t>
        </is>
      </c>
      <c r="P42" t="inlineStr">
        <is>
          <t>Built and tested</t>
        </is>
      </c>
      <c r="Q42" t="inlineStr">
        <is>
          <t>Matches</t>
        </is>
      </c>
      <c r="R42" t="inlineStr">
        <is>
          <t>Register</t>
        </is>
      </c>
      <c r="S42" t="inlineStr">
        <is>
          <t>Traced</t>
        </is>
      </c>
      <c r="U42" t="inlineStr">
        <is>
          <t>OK</t>
        </is>
      </c>
      <c r="V42" t="inlineStr">
        <is>
          <t>Trace status: Traced to requirement</t>
        </is>
      </c>
    </row>
    <row r="43">
      <c r="A43" t="inlineStr">
        <is>
          <t>FD-040</t>
        </is>
      </c>
      <c r="B43" t="inlineStr">
        <is>
          <t>Feature</t>
        </is>
      </c>
      <c r="D43" t="inlineStr">
        <is>
          <t>Application status tracking</t>
        </is>
      </c>
      <c r="E43" t="inlineStr">
        <is>
          <t>An application keeps its current status and an append-only history; a rejection carries a standard reason and a note.</t>
        </is>
      </c>
      <c r="F43" t="inlineStr">
        <is>
          <t>Applications</t>
        </is>
      </c>
      <c r="G43" t="inlineStr">
        <is>
          <t>Candidate</t>
        </is>
      </c>
      <c r="H43" t="inlineStr">
        <is>
          <t>Competitor register</t>
        </is>
      </c>
      <c r="I43" t="inlineStr">
        <is>
          <t>Section 4: Jobs, applications and hiring pipeline (row 40)</t>
        </is>
      </c>
      <c r="J43" t="inlineStr">
        <is>
          <t>General</t>
        </is>
      </c>
      <c r="K43" t="inlineStr">
        <is>
          <t>MUST-HAVE</t>
        </is>
      </c>
      <c r="L43" t="inlineStr">
        <is>
          <t>Competitor matrix rule</t>
        </is>
      </c>
      <c r="M43" t="inlineStr">
        <is>
          <t>3 of 3 studied leaders offer it (Naukri, Monster, LinkedIn); 0 not verified.</t>
        </is>
      </c>
      <c r="N43" t="inlineStr">
        <is>
          <t>Firm</t>
        </is>
      </c>
      <c r="O43" t="inlineStr">
        <is>
          <t>Known</t>
        </is>
      </c>
      <c r="P43" t="inlineStr">
        <is>
          <t>Built and tested</t>
        </is>
      </c>
      <c r="Q43" t="inlineStr">
        <is>
          <t>Exceeds</t>
        </is>
      </c>
      <c r="R43" t="inlineStr">
        <is>
          <t>Register</t>
        </is>
      </c>
      <c r="S43" t="inlineStr">
        <is>
          <t>Traced</t>
        </is>
      </c>
      <c r="U43" t="inlineStr">
        <is>
          <t>OK</t>
        </is>
      </c>
      <c r="V43" t="inlineStr">
        <is>
          <t>Trace status: Traced to requirement</t>
        </is>
      </c>
    </row>
    <row r="44">
      <c r="A44" t="inlineStr">
        <is>
          <t>FD-041</t>
        </is>
      </c>
      <c r="B44" t="inlineStr">
        <is>
          <t>Feature</t>
        </is>
      </c>
      <c r="D44" t="inlineStr">
        <is>
          <t>Interviews, feedback, offers, joining</t>
        </is>
      </c>
      <c r="E44" t="inlineStr">
        <is>
          <t>Interviews by round with a panel and feedback, offers revised as new rows, and a confirmed joining.</t>
        </is>
      </c>
      <c r="F44" t="inlineStr">
        <is>
          <t>Hiring workflow</t>
        </is>
      </c>
      <c r="G44" t="inlineStr">
        <is>
          <t>Hiring manager</t>
        </is>
      </c>
      <c r="H44" t="inlineStr">
        <is>
          <t>Competitor register</t>
        </is>
      </c>
      <c r="I44" t="inlineStr">
        <is>
          <t>Section 4: Jobs, applications and hiring pipeline (row 41)</t>
        </is>
      </c>
      <c r="J44" t="inlineStr">
        <is>
          <t>General</t>
        </is>
      </c>
      <c r="K44" t="inlineStr">
        <is>
          <t>DIFFERENTIATOR</t>
        </is>
      </c>
      <c r="L44" t="inlineStr">
        <is>
          <t>Competitor matrix rule</t>
        </is>
      </c>
      <c r="M44" t="inlineStr">
        <is>
          <t>0 of 3 studied leaders offer it; 0 not verified.</t>
        </is>
      </c>
      <c r="N44" t="inlineStr">
        <is>
          <t>Firm</t>
        </is>
      </c>
      <c r="O44" t="inlineStr">
        <is>
          <t>Known</t>
        </is>
      </c>
      <c r="P44" t="inlineStr">
        <is>
          <t>Built and tested</t>
        </is>
      </c>
      <c r="Q44" t="inlineStr">
        <is>
          <t>Exceeds</t>
        </is>
      </c>
      <c r="R44" t="inlineStr">
        <is>
          <t>Register</t>
        </is>
      </c>
      <c r="S44" t="inlineStr">
        <is>
          <t>Traced</t>
        </is>
      </c>
      <c r="U44" t="inlineStr">
        <is>
          <t>OK</t>
        </is>
      </c>
      <c r="V44" t="inlineStr">
        <is>
          <t>Trace status: Traced to requirement</t>
        </is>
      </c>
    </row>
    <row r="45">
      <c r="A45" t="inlineStr">
        <is>
          <t>FD-042</t>
        </is>
      </c>
      <c r="B45" t="inlineStr">
        <is>
          <t>Feature</t>
        </is>
      </c>
      <c r="D45" t="inlineStr">
        <is>
          <t>Saved jobs and search history</t>
        </is>
      </c>
      <c r="E45" t="inlineStr">
        <is>
          <t>Candidates save jobs; searches, job views and shares are recorded for analysis and kept 12 months.</t>
        </is>
      </c>
      <c r="F45" t="inlineStr">
        <is>
          <t>Jobs</t>
        </is>
      </c>
      <c r="G45" t="inlineStr">
        <is>
          <t>Candidate</t>
        </is>
      </c>
      <c r="H45" t="inlineStr">
        <is>
          <t>Competitor register</t>
        </is>
      </c>
      <c r="I45" t="inlineStr">
        <is>
          <t>Section 4: Jobs, applications and hiring pipeline (row 42)</t>
        </is>
      </c>
      <c r="J45" t="inlineStr">
        <is>
          <t>General</t>
        </is>
      </c>
      <c r="K45" t="inlineStr">
        <is>
          <t>SHOULD-HAVE</t>
        </is>
      </c>
      <c r="L45" t="inlineStr">
        <is>
          <t>Competitor matrix rule</t>
        </is>
      </c>
      <c r="M45" t="inlineStr">
        <is>
          <t>2 of 3 studied leaders offer it (Naukri, LinkedIn); 1 not verified.</t>
        </is>
      </c>
      <c r="N45" t="inlineStr">
        <is>
          <t>Provisional</t>
        </is>
      </c>
      <c r="O45" t="inlineStr">
        <is>
          <t>Known</t>
        </is>
      </c>
      <c r="P45" t="inlineStr">
        <is>
          <t>Built and tested</t>
        </is>
      </c>
      <c r="Q45" t="inlineStr">
        <is>
          <t>Matches</t>
        </is>
      </c>
      <c r="R45" t="inlineStr">
        <is>
          <t>Register</t>
        </is>
      </c>
      <c r="S45" t="inlineStr">
        <is>
          <t>Traced</t>
        </is>
      </c>
      <c r="U45" t="inlineStr">
        <is>
          <t>OK</t>
        </is>
      </c>
      <c r="V45" t="inlineStr">
        <is>
          <t>Trace status: Traced to requirement</t>
        </is>
      </c>
    </row>
    <row r="46">
      <c r="A46" t="inlineStr">
        <is>
          <t>FD-043</t>
        </is>
      </c>
      <c r="B46" t="inlineStr">
        <is>
          <t>Feature</t>
        </is>
      </c>
      <c r="D46" t="inlineStr">
        <is>
          <t>Job alerts and recommendations</t>
        </is>
      </c>
      <c r="E46" t="inlineStr">
        <is>
          <t>A candidate gets alerts and recommendations for matching jobs. The preferences exist; the alert definition and matching are not built.</t>
        </is>
      </c>
      <c r="F46" t="inlineStr">
        <is>
          <t>Notifications and community</t>
        </is>
      </c>
      <c r="G46" t="inlineStr">
        <is>
          <t>Candidate</t>
        </is>
      </c>
      <c r="H46" t="inlineStr">
        <is>
          <t>Competitor register</t>
        </is>
      </c>
      <c r="I46" t="inlineStr">
        <is>
          <t>Section 4: Jobs, applications and hiring pipeline (row 43)</t>
        </is>
      </c>
      <c r="J46" t="inlineStr">
        <is>
          <t>General</t>
        </is>
      </c>
      <c r="K46" t="inlineStr">
        <is>
          <t>MUST-HAVE</t>
        </is>
      </c>
      <c r="L46" t="inlineStr">
        <is>
          <t>Competitor matrix rule</t>
        </is>
      </c>
      <c r="M46" t="inlineStr">
        <is>
          <t>3 of 3 studied leaders offer it (Naukri, Monster, LinkedIn); 0 not verified.</t>
        </is>
      </c>
      <c r="N46" t="inlineStr">
        <is>
          <t>Firm</t>
        </is>
      </c>
      <c r="O46" t="inlineStr">
        <is>
          <t>Known</t>
        </is>
      </c>
      <c r="P46" t="inlineStr">
        <is>
          <t>Not built</t>
        </is>
      </c>
      <c r="Q46" t="inlineStr">
        <is>
          <t>Falls short</t>
        </is>
      </c>
      <c r="R46" t="inlineStr">
        <is>
          <t>Register</t>
        </is>
      </c>
      <c r="S46" t="inlineStr">
        <is>
          <t>New insight</t>
        </is>
      </c>
      <c r="U46" t="inlineStr">
        <is>
          <t>OK</t>
        </is>
      </c>
      <c r="V46" t="inlineStr">
        <is>
          <t>Trace status: NEW INSIGHT</t>
        </is>
      </c>
    </row>
    <row r="47">
      <c r="A47" t="inlineStr">
        <is>
          <t>FD-044</t>
        </is>
      </c>
      <c r="B47" t="inlineStr">
        <is>
          <t>Feature</t>
        </is>
      </c>
      <c r="D47" t="inlineStr">
        <is>
          <t>Salary shown or hidden</t>
        </is>
      </c>
      <c r="E47" t="inlineStr">
        <is>
          <t>The employer can enter a salary range and hide it from candidates.</t>
        </is>
      </c>
      <c r="F47" t="inlineStr">
        <is>
          <t>Jobs</t>
        </is>
      </c>
      <c r="G47" t="inlineStr">
        <is>
          <t>Hiring manager</t>
        </is>
      </c>
      <c r="H47" t="inlineStr">
        <is>
          <t>Competitor register</t>
        </is>
      </c>
      <c r="I47" t="inlineStr">
        <is>
          <t>Section 4: Jobs, applications and hiring pipeline (row 44)</t>
        </is>
      </c>
      <c r="J47" t="inlineStr">
        <is>
          <t>General</t>
        </is>
      </c>
      <c r="K47" t="inlineStr">
        <is>
          <t>SHOULD-HAVE</t>
        </is>
      </c>
      <c r="L47" t="inlineStr">
        <is>
          <t>Competitor matrix rule</t>
        </is>
      </c>
      <c r="M47" t="inlineStr">
        <is>
          <t>2 of 3 studied leaders offer it (Naukri, LinkedIn); 1 not verified.</t>
        </is>
      </c>
      <c r="N47" t="inlineStr">
        <is>
          <t>Provisional</t>
        </is>
      </c>
      <c r="O47" t="inlineStr">
        <is>
          <t>Known</t>
        </is>
      </c>
      <c r="P47" t="inlineStr">
        <is>
          <t>Built and tested</t>
        </is>
      </c>
      <c r="Q47" t="inlineStr">
        <is>
          <t>Matches</t>
        </is>
      </c>
      <c r="R47" t="inlineStr">
        <is>
          <t>Register</t>
        </is>
      </c>
      <c r="S47" t="inlineStr">
        <is>
          <t>Traced</t>
        </is>
      </c>
      <c r="U47" t="inlineStr">
        <is>
          <t>OK</t>
        </is>
      </c>
      <c r="V47" t="inlineStr">
        <is>
          <t>Trace status: Traced to requirement</t>
        </is>
      </c>
    </row>
    <row r="48">
      <c r="A48" t="inlineStr">
        <is>
          <t>FD-045</t>
        </is>
      </c>
      <c r="B48" t="inlineStr">
        <is>
          <t>Feature</t>
        </is>
      </c>
      <c r="D48" t="inlineStr">
        <is>
          <t>Job listing states</t>
        </is>
      </c>
      <c r="E48" t="inlineStr">
        <is>
          <t>A job moves through draft, open, on hold, filled and closed, and every change is kept.</t>
        </is>
      </c>
      <c r="F48" t="inlineStr">
        <is>
          <t>Jobs</t>
        </is>
      </c>
      <c r="G48" t="inlineStr">
        <is>
          <t>Hiring manager</t>
        </is>
      </c>
      <c r="H48" t="inlineStr">
        <is>
          <t>Competitor register</t>
        </is>
      </c>
      <c r="I48" t="inlineStr">
        <is>
          <t>Section 4: Jobs, applications and hiring pipeline (row 45)</t>
        </is>
      </c>
      <c r="J48" t="inlineStr">
        <is>
          <t>General</t>
        </is>
      </c>
      <c r="K48" t="inlineStr">
        <is>
          <t>SHOULD-HAVE</t>
        </is>
      </c>
      <c r="L48" t="inlineStr">
        <is>
          <t>Competitor matrix rule</t>
        </is>
      </c>
      <c r="M48" t="inlineStr">
        <is>
          <t>1 of 3 studied leaders offer it (Monster); 2 not verified.</t>
        </is>
      </c>
      <c r="N48" t="inlineStr">
        <is>
          <t>Provisional</t>
        </is>
      </c>
      <c r="O48" t="inlineStr">
        <is>
          <t>Public</t>
        </is>
      </c>
      <c r="P48" t="inlineStr">
        <is>
          <t>Built and tested</t>
        </is>
      </c>
      <c r="Q48" t="inlineStr">
        <is>
          <t>Matches</t>
        </is>
      </c>
      <c r="R48" t="inlineStr">
        <is>
          <t>Register</t>
        </is>
      </c>
      <c r="S48" t="inlineStr">
        <is>
          <t>Traced</t>
        </is>
      </c>
      <c r="U48" t="inlineStr">
        <is>
          <t>OK</t>
        </is>
      </c>
      <c r="V48" t="inlineStr">
        <is>
          <t>Trace status: Traced to requirement</t>
        </is>
      </c>
    </row>
    <row r="49">
      <c r="A49" t="inlineStr">
        <is>
          <t>FD-046</t>
        </is>
      </c>
      <c r="B49" t="inlineStr">
        <is>
          <t>Feature</t>
        </is>
      </c>
      <c r="D49" t="inlineStr">
        <is>
          <t>Aptitude and domain assessments</t>
        </is>
      </c>
      <c r="E49" t="inlineStr">
        <is>
          <t>Tests with attempts and scores. Proctoring is not modelled.</t>
        </is>
      </c>
      <c r="F49" t="inlineStr">
        <is>
          <t>Campus</t>
        </is>
      </c>
      <c r="G49" t="inlineStr">
        <is>
          <t>Candidate</t>
        </is>
      </c>
      <c r="H49" t="inlineStr">
        <is>
          <t>Competitor register</t>
        </is>
      </c>
      <c r="I49" t="inlineStr">
        <is>
          <t>Section 5: Campus and fresher hiring (Naukri Campus) (row 46)</t>
        </is>
      </c>
      <c r="J49" t="inlineStr">
        <is>
          <t>Campus</t>
        </is>
      </c>
      <c r="K49" t="inlineStr">
        <is>
          <t>SHOULD-HAVE</t>
        </is>
      </c>
      <c r="L49" t="inlineStr">
        <is>
          <t>Competitor matrix rule</t>
        </is>
      </c>
      <c r="M49" t="inlineStr">
        <is>
          <t>Naukri Campus is the only leader studied for campus hiring: Yes.</t>
        </is>
      </c>
      <c r="N49" t="inlineStr">
        <is>
          <t>Provisional</t>
        </is>
      </c>
      <c r="O49" t="inlineStr">
        <is>
          <t>Public</t>
        </is>
      </c>
      <c r="P49" t="inlineStr">
        <is>
          <t>Built</t>
        </is>
      </c>
      <c r="Q49" t="inlineStr">
        <is>
          <t>Matches</t>
        </is>
      </c>
      <c r="R49" t="inlineStr">
        <is>
          <t>Register</t>
        </is>
      </c>
      <c r="S49" t="inlineStr">
        <is>
          <t>Traced</t>
        </is>
      </c>
      <c r="U49" t="inlineStr">
        <is>
          <t>OK</t>
        </is>
      </c>
      <c r="V49" t="inlineStr">
        <is>
          <t>Class basis: Competitor matrix rule (campus) | Confidence: Provisional (one leader studied) | Trace status: Traced to requirement</t>
        </is>
      </c>
    </row>
    <row r="50">
      <c r="A50" t="inlineStr">
        <is>
          <t>FD-047</t>
        </is>
      </c>
      <c r="B50" t="inlineStr">
        <is>
          <t>Feature</t>
        </is>
      </c>
      <c r="D50" t="inlineStr">
        <is>
          <t>Campus drives managed by employers (define, run, track)</t>
        </is>
      </c>
      <c r="E50" t="inlineStr">
        <is>
          <t>An employer runs a drive at an institution, with an optional placement officer and the participants.</t>
        </is>
      </c>
      <c r="F50" t="inlineStr">
        <is>
          <t>Campus</t>
        </is>
      </c>
      <c r="G50" t="inlineStr">
        <is>
          <t>Placement officer</t>
        </is>
      </c>
      <c r="H50" t="inlineStr">
        <is>
          <t>Competitor register</t>
        </is>
      </c>
      <c r="I50" t="inlineStr">
        <is>
          <t>Section 5: Campus and fresher hiring (Naukri Campus) (row 47)</t>
        </is>
      </c>
      <c r="J50" t="inlineStr">
        <is>
          <t>Campus</t>
        </is>
      </c>
      <c r="K50" t="inlineStr">
        <is>
          <t>SHOULD-HAVE</t>
        </is>
      </c>
      <c r="L50" t="inlineStr">
        <is>
          <t>Competitor matrix rule</t>
        </is>
      </c>
      <c r="M50" t="inlineStr">
        <is>
          <t>Naukri Campus is the only leader studied for campus hiring: Yes.</t>
        </is>
      </c>
      <c r="N50" t="inlineStr">
        <is>
          <t>Provisional</t>
        </is>
      </c>
      <c r="O50" t="inlineStr">
        <is>
          <t>Public</t>
        </is>
      </c>
      <c r="P50" t="inlineStr">
        <is>
          <t>Built and tested</t>
        </is>
      </c>
      <c r="Q50" t="inlineStr">
        <is>
          <t>Matches</t>
        </is>
      </c>
      <c r="R50" t="inlineStr">
        <is>
          <t>Register</t>
        </is>
      </c>
      <c r="S50" t="inlineStr">
        <is>
          <t>Traced</t>
        </is>
      </c>
      <c r="U50" t="inlineStr">
        <is>
          <t>OK</t>
        </is>
      </c>
      <c r="V50" t="inlineStr">
        <is>
          <t>Class basis: Competitor matrix rule (campus) | Confidence: Provisional (one leader studied) | Trace status: Traced to requirement</t>
        </is>
      </c>
    </row>
    <row r="51">
      <c r="A51" t="inlineStr">
        <is>
          <t>FD-048</t>
        </is>
      </c>
      <c r="B51" t="inlineStr">
        <is>
          <t>Feature</t>
        </is>
      </c>
      <c r="D51" t="inlineStr">
        <is>
          <t>Skills contests and prep content</t>
        </is>
      </c>
      <c r="E51" t="inlineStr">
        <is>
          <t>Contests and preparation content for students.</t>
        </is>
      </c>
      <c r="F51" t="inlineStr">
        <is>
          <t>Campus</t>
        </is>
      </c>
      <c r="G51" t="inlineStr">
        <is>
          <t>Candidate</t>
        </is>
      </c>
      <c r="H51" t="inlineStr">
        <is>
          <t>Competitor register</t>
        </is>
      </c>
      <c r="I51" t="inlineStr">
        <is>
          <t>Section 5: Campus and fresher hiring (Naukri Campus) (row 48)</t>
        </is>
      </c>
      <c r="J51" t="inlineStr">
        <is>
          <t>Campus</t>
        </is>
      </c>
      <c r="K51" t="inlineStr">
        <is>
          <t>SHOULD-HAVE</t>
        </is>
      </c>
      <c r="L51" t="inlineStr">
        <is>
          <t>Competitor matrix rule</t>
        </is>
      </c>
      <c r="M51" t="inlineStr">
        <is>
          <t>Naukri Campus is the only leader studied for campus hiring: Yes.</t>
        </is>
      </c>
      <c r="N51" t="inlineStr">
        <is>
          <t>Provisional</t>
        </is>
      </c>
      <c r="O51" t="inlineStr">
        <is>
          <t>Public</t>
        </is>
      </c>
      <c r="P51" t="inlineStr">
        <is>
          <t>Deliberately left out</t>
        </is>
      </c>
      <c r="Q51" t="inlineStr">
        <is>
          <t>Falls short</t>
        </is>
      </c>
      <c r="R51" t="inlineStr">
        <is>
          <t>Register</t>
        </is>
      </c>
      <c r="S51" t="inlineStr">
        <is>
          <t>New insight</t>
        </is>
      </c>
      <c r="U51" t="inlineStr">
        <is>
          <t>OK</t>
        </is>
      </c>
      <c r="V51" t="inlineStr">
        <is>
          <t>Class basis: Competitor matrix rule (campus) | Confidence: Provisional (one leader studied) | Trace status: NEW INSIGHT</t>
        </is>
      </c>
    </row>
    <row r="52">
      <c r="A52" t="inlineStr">
        <is>
          <t>FD-049</t>
        </is>
      </c>
      <c r="B52" t="inlineStr">
        <is>
          <t>Feature</t>
        </is>
      </c>
      <c r="D52" t="inlineStr">
        <is>
          <t>Institution as a hiring partner</t>
        </is>
      </c>
      <c r="E52" t="inlineStr">
        <is>
          <t>A drive links an institution to an employer.</t>
        </is>
      </c>
      <c r="F52" t="inlineStr">
        <is>
          <t>Campus</t>
        </is>
      </c>
      <c r="G52" t="inlineStr">
        <is>
          <t>Placement officer</t>
        </is>
      </c>
      <c r="H52" t="inlineStr">
        <is>
          <t>Competitor register</t>
        </is>
      </c>
      <c r="I52" t="inlineStr">
        <is>
          <t>Section 5: Campus and fresher hiring (Naukri Campus) (row 49)</t>
        </is>
      </c>
      <c r="J52" t="inlineStr">
        <is>
          <t>Campus</t>
        </is>
      </c>
      <c r="K52" t="inlineStr">
        <is>
          <t>SHOULD-HAVE</t>
        </is>
      </c>
      <c r="L52" t="inlineStr">
        <is>
          <t>Competitor matrix rule</t>
        </is>
      </c>
      <c r="M52" t="inlineStr">
        <is>
          <t>Naukri Campus is the only leader studied for campus hiring: Not verified.</t>
        </is>
      </c>
      <c r="N52" t="inlineStr">
        <is>
          <t>Provisional</t>
        </is>
      </c>
      <c r="O52" t="inlineStr">
        <is>
          <t>Known</t>
        </is>
      </c>
      <c r="P52" t="inlineStr">
        <is>
          <t>Built and tested</t>
        </is>
      </c>
      <c r="Q52" t="inlineStr">
        <is>
          <t>Matches</t>
        </is>
      </c>
      <c r="R52" t="inlineStr">
        <is>
          <t>Register</t>
        </is>
      </c>
      <c r="S52" t="inlineStr">
        <is>
          <t>Traced</t>
        </is>
      </c>
      <c r="U52" t="inlineStr">
        <is>
          <t>OK</t>
        </is>
      </c>
      <c r="V52" t="inlineStr">
        <is>
          <t>Class basis: Competitor matrix rule (campus) | Confidence: Provisional (one leader studied) | Trace status: Traced to requirement</t>
        </is>
      </c>
    </row>
    <row r="53">
      <c r="A53" t="inlineStr">
        <is>
          <t>FD-050</t>
        </is>
      </c>
      <c r="B53" t="inlineStr">
        <is>
          <t>Feature</t>
        </is>
      </c>
      <c r="D53" t="inlineStr">
        <is>
          <t>Gig marketplace with windows, pricing, one-way bids, external fulfilment (LinkedIn has a Services marketplace, with no windows or bids)</t>
        </is>
      </c>
      <c r="E53" t="inlineStr">
        <is>
          <t>Short tasks with a time window, a price, one-way bids and an outside fulfilment system.</t>
        </is>
      </c>
      <c r="F53" t="inlineStr">
        <is>
          <t>Gig</t>
        </is>
      </c>
      <c r="G53" t="inlineStr">
        <is>
          <t>Gig worker</t>
        </is>
      </c>
      <c r="H53" t="inlineStr">
        <is>
          <t>Competitor register</t>
        </is>
      </c>
      <c r="I53" t="inlineStr">
        <is>
          <t>Section 6: Things in Talentra that these products do not show to users (row 50)</t>
        </is>
      </c>
      <c r="J53" t="inlineStr">
        <is>
          <t>Not observable</t>
        </is>
      </c>
      <c r="K53" t="inlineStr">
        <is>
          <t>DIFFERENTIATOR</t>
        </is>
      </c>
      <c r="L53" t="inlineStr">
        <is>
          <t>Declared market-wide</t>
        </is>
      </c>
      <c r="M53" t="inlineStr">
        <is>
          <t>Register section 6: LinkedIn has a Services marketplace with no windows or bids; no other studied product shows one (evidence Known)</t>
        </is>
      </c>
      <c r="N53" t="inlineStr">
        <is>
          <t>Declared</t>
        </is>
      </c>
      <c r="O53" t="inlineStr">
        <is>
          <t>Known</t>
        </is>
      </c>
      <c r="P53" t="inlineStr">
        <is>
          <t>Built</t>
        </is>
      </c>
      <c r="Q53" t="inlineStr">
        <is>
          <t>Exceeds</t>
        </is>
      </c>
      <c r="R53" t="inlineStr">
        <is>
          <t>Register</t>
        </is>
      </c>
      <c r="S53" t="inlineStr">
        <is>
          <t>Traced</t>
        </is>
      </c>
      <c r="U53" t="inlineStr">
        <is>
          <t>declared</t>
        </is>
      </c>
      <c r="V53" t="inlineStr">
        <is>
          <t>Class basis: Register section 6: LinkedIn has a Services marketplace with no windows or bids; no other studied product shows one (evidence Known) | Confidence: Declared (not observable) | Trace status: Traced to requirement</t>
        </is>
      </c>
    </row>
    <row r="54">
      <c r="A54" t="inlineStr">
        <is>
          <t>FD-051</t>
        </is>
      </c>
      <c r="B54" t="inlineStr">
        <is>
          <t>Feature</t>
        </is>
      </c>
      <c r="D54" t="inlineStr">
        <is>
          <t>Consultant marketplace: freelance recruiters source for jobs open to consultants</t>
        </is>
      </c>
      <c r="E54" t="inlineStr">
        <is>
          <t>A consultant works only the jobs open to consultants, through a request the employer approves, with fee terms.</t>
        </is>
      </c>
      <c r="F54" t="inlineStr">
        <is>
          <t>Consultants and sourcing</t>
        </is>
      </c>
      <c r="G54" t="inlineStr">
        <is>
          <t>Consultant</t>
        </is>
      </c>
      <c r="H54" t="inlineStr">
        <is>
          <t>Competitor register</t>
        </is>
      </c>
      <c r="I54" t="inlineStr">
        <is>
          <t>Section 6: Things in Talentra that these products do not show to users (row 51)</t>
        </is>
      </c>
      <c r="J54" t="inlineStr">
        <is>
          <t>Not observable</t>
        </is>
      </c>
      <c r="K54" t="inlineStr">
        <is>
          <t>MUST-HAVE</t>
        </is>
      </c>
      <c r="L54" t="inlineStr">
        <is>
          <t>Brief demands</t>
        </is>
      </c>
      <c r="M54" t="inlineStr">
        <is>
          <t>Brief demands: a consultant acts only on requirements open to consultants (decision SO1)</t>
        </is>
      </c>
      <c r="N54" t="inlineStr">
        <is>
          <t>Declared</t>
        </is>
      </c>
      <c r="O54" t="inlineStr">
        <is>
          <t>Known</t>
        </is>
      </c>
      <c r="P54" t="inlineStr">
        <is>
          <t>Built and tested</t>
        </is>
      </c>
      <c r="Q54" t="inlineStr">
        <is>
          <t>Exceeds</t>
        </is>
      </c>
      <c r="R54" t="inlineStr">
        <is>
          <t>Register</t>
        </is>
      </c>
      <c r="S54" t="inlineStr">
        <is>
          <t>Traced</t>
        </is>
      </c>
      <c r="T54" t="inlineStr">
        <is>
          <t>Register verdict: Exceeds on the rule that a consultant acts only on open requirements; falls short on settlement and protection</t>
        </is>
      </c>
      <c r="U54" t="inlineStr">
        <is>
          <t>declared</t>
        </is>
      </c>
      <c r="V54" t="inlineStr">
        <is>
          <t>Class basis: Brief demands: a consultant acts only on requirements open to consultants (decision SO1) | Confidence: Declared (not observable) | Trace status: Traced to requirement</t>
        </is>
      </c>
    </row>
    <row r="55">
      <c r="A55" t="inlineStr">
        <is>
          <t>FD-052</t>
        </is>
      </c>
      <c r="B55" t="inlineStr">
        <is>
          <t>Feature</t>
        </is>
      </c>
      <c r="D55" t="inlineStr">
        <is>
          <t>Candidate can block employers, recruiters and consultants by party type (LinkedIn blocks any member)</t>
        </is>
      </c>
      <c r="E55" t="inlineStr">
        <is>
          <t>A candidate blocks an organisation or a person, and the blocked side cannot see the candidate.</t>
        </is>
      </c>
      <c r="F55" t="inlineStr">
        <is>
          <t>Privacy and security</t>
        </is>
      </c>
      <c r="G55" t="inlineStr">
        <is>
          <t>Candidate</t>
        </is>
      </c>
      <c r="H55" t="inlineStr">
        <is>
          <t>Competitor register</t>
        </is>
      </c>
      <c r="I55" t="inlineStr">
        <is>
          <t>Section 6: Things in Talentra that these products do not show to users (row 52)</t>
        </is>
      </c>
      <c r="J55" t="inlineStr">
        <is>
          <t>Not observable</t>
        </is>
      </c>
      <c r="K55" t="inlineStr">
        <is>
          <t>MUST-HAVE</t>
        </is>
      </c>
      <c r="L55" t="inlineStr">
        <is>
          <t>Brief demands</t>
        </is>
      </c>
      <c r="M55" t="inlineStr">
        <is>
          <t>Brief demands: the blocked-party rule (decision A7)</t>
        </is>
      </c>
      <c r="N55" t="inlineStr">
        <is>
          <t>Declared</t>
        </is>
      </c>
      <c r="O55" t="inlineStr">
        <is>
          <t>Known</t>
        </is>
      </c>
      <c r="P55" t="inlineStr">
        <is>
          <t>Built and tested</t>
        </is>
      </c>
      <c r="Q55" t="inlineStr">
        <is>
          <t>Exceeds</t>
        </is>
      </c>
      <c r="R55" t="inlineStr">
        <is>
          <t>Register</t>
        </is>
      </c>
      <c r="S55" t="inlineStr">
        <is>
          <t>Traced</t>
        </is>
      </c>
      <c r="U55" t="inlineStr">
        <is>
          <t>declared</t>
        </is>
      </c>
      <c r="V55" t="inlineStr">
        <is>
          <t>Class basis: Brief demands: the blocked-party rule (decision A7) | Confidence: Declared (not observable) | Trace status: Traced to requirement</t>
        </is>
      </c>
    </row>
    <row r="56">
      <c r="A56" t="inlineStr">
        <is>
          <t>FD-053</t>
        </is>
      </c>
      <c r="B56" t="inlineStr">
        <is>
          <t>Feature</t>
        </is>
      </c>
      <c r="D56" t="inlineStr">
        <is>
          <t>Rules enforced in the database (one application per job, no overlapping windows)</t>
        </is>
      </c>
      <c r="E56" t="inlineStr">
        <is>
          <t>One application per job and no overlapping windows, enforced by the database and not by the application.</t>
        </is>
      </c>
      <c r="F56" t="inlineStr">
        <is>
          <t>Platform and scale</t>
        </is>
      </c>
      <c r="G56" t="inlineStr">
        <is>
          <t>Platform operator</t>
        </is>
      </c>
      <c r="H56" t="inlineStr">
        <is>
          <t>Competitor register</t>
        </is>
      </c>
      <c r="I56" t="inlineStr">
        <is>
          <t>Section 6: Things in Talentra that these products do not show to users (row 53)</t>
        </is>
      </c>
      <c r="J56" t="inlineStr">
        <is>
          <t>Not observable</t>
        </is>
      </c>
      <c r="K56" t="inlineStr">
        <is>
          <t>MUST-HAVE</t>
        </is>
      </c>
      <c r="L56" t="inlineStr">
        <is>
          <t>Brief demands</t>
        </is>
      </c>
      <c r="M56" t="inlineStr">
        <is>
          <t>Brief demands: rules enforced by the database (docs/schema-justification.md)</t>
        </is>
      </c>
      <c r="N56" t="inlineStr">
        <is>
          <t>Declared</t>
        </is>
      </c>
      <c r="O56" t="inlineStr">
        <is>
          <t>Known</t>
        </is>
      </c>
      <c r="P56" t="inlineStr">
        <is>
          <t>Built and tested</t>
        </is>
      </c>
      <c r="Q56" t="inlineStr">
        <is>
          <t>Exceeds</t>
        </is>
      </c>
      <c r="R56" t="inlineStr">
        <is>
          <t>Register</t>
        </is>
      </c>
      <c r="S56" t="inlineStr">
        <is>
          <t>Traced</t>
        </is>
      </c>
      <c r="U56" t="inlineStr">
        <is>
          <t>declared</t>
        </is>
      </c>
      <c r="V56" t="inlineStr">
        <is>
          <t>Class basis: Brief demands: rules enforced by the database (docs/schema-justification.md) | Confidence: Declared (not observable) | Trace status: Traced to requirement</t>
        </is>
      </c>
    </row>
    <row r="57">
      <c r="A57" t="inlineStr">
        <is>
          <t>FD-054</t>
        </is>
      </c>
      <c r="B57" t="inlineStr">
        <is>
          <t>Feature</t>
        </is>
      </c>
      <c r="D57" t="inlineStr">
        <is>
          <t>Current and expected salary as fields and recruiter filters</t>
        </is>
      </c>
      <c r="E57" t="inlineStr">
        <is>
          <t>Current and expected pay stored on the candidate and usable as a recruiter filter. The columns exist on the profile; the search filter is not modelled.</t>
        </is>
      </c>
      <c r="F57" t="inlineStr">
        <is>
          <t>Search</t>
        </is>
      </c>
      <c r="G57" t="inlineStr">
        <is>
          <t>Recruiter</t>
        </is>
      </c>
      <c r="H57" t="inlineStr">
        <is>
          <t>Gap table</t>
        </is>
      </c>
      <c r="I57" t="inlineStr">
        <is>
          <t>Gap table, row 'Current and expected salary'</t>
        </is>
      </c>
      <c r="J57" t="inlineStr">
        <is>
          <t>General</t>
        </is>
      </c>
      <c r="K57" t="inlineStr">
        <is>
          <t>MUST-HAVE</t>
        </is>
      </c>
      <c r="L57" t="inlineStr">
        <is>
          <t>Competitor matrix rule</t>
        </is>
      </c>
      <c r="M57" t="inlineStr">
        <is>
          <t>3 of 3 studied leaders offer it (Naukri, Monster, LinkedIn); 0 not verified.</t>
        </is>
      </c>
      <c r="N57" t="inlineStr">
        <is>
          <t>Firm</t>
        </is>
      </c>
      <c r="O57" t="inlineStr">
        <is>
          <t>Mixed</t>
        </is>
      </c>
      <c r="P57" t="inlineStr">
        <is>
          <t>Built</t>
        </is>
      </c>
      <c r="Q57" t="inlineStr">
        <is>
          <t>Falls short</t>
        </is>
      </c>
      <c r="R57" t="inlineStr">
        <is>
          <t>Our reading of the gap table</t>
        </is>
      </c>
      <c r="S57" t="inlineStr">
        <is>
          <t>Traced</t>
        </is>
      </c>
      <c r="T57" t="inlineStr">
        <is>
          <t>candidate_profile has expected_salary_min, expected_salary_max, currency and period; the register still lists this as Proposed. Filter on it is not built.</t>
        </is>
      </c>
      <c r="U57" t="inlineStr">
        <is>
          <t>OK</t>
        </is>
      </c>
      <c r="V57" t="inlineStr">
        <is>
          <t>Evidence status: Mixed: pages read and search summary | Trace status: Traced to requirement</t>
        </is>
      </c>
    </row>
    <row r="58">
      <c r="A58" t="inlineStr">
        <is>
          <t>FD-055</t>
        </is>
      </c>
      <c r="B58" t="inlineStr">
        <is>
          <t>Feature</t>
        </is>
      </c>
      <c r="D58" t="inlineStr">
        <is>
          <t>Serving notice flag</t>
        </is>
      </c>
      <c r="E58" t="inlineStr">
        <is>
          <t>A yes/no flag that the candidate is serving a notice period, kept apart from the length of the notice.</t>
        </is>
      </c>
      <c r="F58" t="inlineStr">
        <is>
          <t>Profile</t>
        </is>
      </c>
      <c r="G58" t="inlineStr">
        <is>
          <t>Candidate</t>
        </is>
      </c>
      <c r="H58" t="inlineStr">
        <is>
          <t>Gap table</t>
        </is>
      </c>
      <c r="I58" t="inlineStr">
        <is>
          <t>Gap table, row 'Serving notice flag'</t>
        </is>
      </c>
      <c r="J58" t="inlineStr">
        <is>
          <t>General</t>
        </is>
      </c>
      <c r="K58" t="inlineStr">
        <is>
          <t>SHOULD-HAVE</t>
        </is>
      </c>
      <c r="L58" t="inlineStr">
        <is>
          <t>Competitor matrix rule</t>
        </is>
      </c>
      <c r="M58" t="inlineStr">
        <is>
          <t>1 of 3 studied leaders offer it (Naukri); 2 not verified.</t>
        </is>
      </c>
      <c r="N58" t="inlineStr">
        <is>
          <t>Provisional</t>
        </is>
      </c>
      <c r="O58" t="inlineStr">
        <is>
          <t>Search summary only</t>
        </is>
      </c>
      <c r="P58" t="inlineStr">
        <is>
          <t>Not built</t>
        </is>
      </c>
      <c r="Q58" t="inlineStr">
        <is>
          <t>Falls short</t>
        </is>
      </c>
      <c r="R58" t="inlineStr">
        <is>
          <t>Derived from the gap table</t>
        </is>
      </c>
      <c r="S58" t="inlineStr">
        <is>
          <t>New insight</t>
        </is>
      </c>
      <c r="T58" t="inlineStr">
        <is>
          <t>notice_period_days exists; the flag does not.</t>
        </is>
      </c>
      <c r="U58" t="inlineStr">
        <is>
          <t>OK</t>
        </is>
      </c>
      <c r="V58" t="inlineStr">
        <is>
          <t>Trace status: NEW INSIGHT</t>
        </is>
      </c>
    </row>
    <row r="59">
      <c r="A59" t="inlineStr">
        <is>
          <t>FD-056</t>
        </is>
      </c>
      <c r="B59" t="inlineStr">
        <is>
          <t>Feature</t>
        </is>
      </c>
      <c r="D59" t="inlineStr">
        <is>
          <t>Per-seat usage quota</t>
        </is>
      </c>
      <c r="E59" t="inlineStr">
        <is>
          <t>A weekly or monthly limit on what one user of a licence may view or send.</t>
        </is>
      </c>
      <c r="F59" t="inlineStr">
        <is>
          <t>Licences, subscriptions and wallet</t>
        </is>
      </c>
      <c r="G59" t="inlineStr">
        <is>
          <t>Organisation administrator</t>
        </is>
      </c>
      <c r="H59" t="inlineStr">
        <is>
          <t>Gap table</t>
        </is>
      </c>
      <c r="I59" t="inlineStr">
        <is>
          <t>Gap table, row 'Per-seat quota'</t>
        </is>
      </c>
      <c r="J59" t="inlineStr">
        <is>
          <t>General</t>
        </is>
      </c>
      <c r="K59" t="inlineStr">
        <is>
          <t>SHOULD-HAVE</t>
        </is>
      </c>
      <c r="L59" t="inlineStr">
        <is>
          <t>Competitor matrix rule</t>
        </is>
      </c>
      <c r="M59" t="inlineStr">
        <is>
          <t>2 of 3 studied leaders offer it (Naukri, LinkedIn); 1 not verified.</t>
        </is>
      </c>
      <c r="N59" t="inlineStr">
        <is>
          <t>Provisional</t>
        </is>
      </c>
      <c r="O59" t="inlineStr">
        <is>
          <t>Mixed</t>
        </is>
      </c>
      <c r="P59" t="inlineStr">
        <is>
          <t>Not built</t>
        </is>
      </c>
      <c r="Q59" t="inlineStr">
        <is>
          <t>Falls short</t>
        </is>
      </c>
      <c r="R59" t="inlineStr">
        <is>
          <t>Derived from the gap table</t>
        </is>
      </c>
      <c r="S59" t="inlineStr">
        <is>
          <t>New insight</t>
        </is>
      </c>
      <c r="U59" t="inlineStr">
        <is>
          <t>OK</t>
        </is>
      </c>
      <c r="V59" t="inlineStr">
        <is>
          <t>Evidence status: Mixed: page read and search summary | Trace status: NEW INSIGHT</t>
        </is>
      </c>
    </row>
    <row r="60">
      <c r="A60" t="inlineStr">
        <is>
          <t>FD-057</t>
        </is>
      </c>
      <c r="B60" t="inlineStr">
        <is>
          <t>Feature</t>
        </is>
      </c>
      <c r="D60" t="inlineStr">
        <is>
          <t>Seat park, restore and reassign</t>
        </is>
      </c>
      <c r="E60" t="inlineStr">
        <is>
          <t>A seat can be parked, restored or handed to another user, with a monthly cap.</t>
        </is>
      </c>
      <c r="F60" t="inlineStr">
        <is>
          <t>Licences, subscriptions and wallet</t>
        </is>
      </c>
      <c r="G60" t="inlineStr">
        <is>
          <t>Organisation administrator</t>
        </is>
      </c>
      <c r="H60" t="inlineStr">
        <is>
          <t>Gap table</t>
        </is>
      </c>
      <c r="I60" t="inlineStr">
        <is>
          <t>Gap table, row 'Seat lifecycle'</t>
        </is>
      </c>
      <c r="J60" t="inlineStr">
        <is>
          <t>General</t>
        </is>
      </c>
      <c r="K60" t="inlineStr">
        <is>
          <t>SHOULD-HAVE</t>
        </is>
      </c>
      <c r="L60" t="inlineStr">
        <is>
          <t>Competitor matrix rule</t>
        </is>
      </c>
      <c r="M60" t="inlineStr">
        <is>
          <t>1 of 3 studied leaders offer it (LinkedIn); 2 not verified.</t>
        </is>
      </c>
      <c r="N60" t="inlineStr">
        <is>
          <t>Provisional</t>
        </is>
      </c>
      <c r="O60" t="inlineStr">
        <is>
          <t>Search summary only</t>
        </is>
      </c>
      <c r="P60" t="inlineStr">
        <is>
          <t>Not built</t>
        </is>
      </c>
      <c r="Q60" t="inlineStr">
        <is>
          <t>Falls short</t>
        </is>
      </c>
      <c r="R60" t="inlineStr">
        <is>
          <t>Derived from the gap table</t>
        </is>
      </c>
      <c r="S60" t="inlineStr">
        <is>
          <t>New insight</t>
        </is>
      </c>
      <c r="T60" t="inlineStr">
        <is>
          <t>LinkedIn evidence is a search summary.</t>
        </is>
      </c>
      <c r="U60" t="inlineStr">
        <is>
          <t>OK</t>
        </is>
      </c>
      <c r="V60" t="inlineStr">
        <is>
          <t>Trace status: NEW INSIGHT</t>
        </is>
      </c>
    </row>
    <row r="61">
      <c r="A61" t="inlineStr">
        <is>
          <t>FD-058</t>
        </is>
      </c>
      <c r="B61" t="inlineStr">
        <is>
          <t>Feature</t>
        </is>
      </c>
      <c r="D61" t="inlineStr">
        <is>
          <t>Custom fields on a prospect</t>
        </is>
      </c>
      <c r="E61" t="inlineStr">
        <is>
          <t>Administrators define extra fields on a prospect and filter by them inside a pipeline.</t>
        </is>
      </c>
      <c r="F61" t="inlineStr">
        <is>
          <t>Consultants and sourcing</t>
        </is>
      </c>
      <c r="G61" t="inlineStr">
        <is>
          <t>Recruiter</t>
        </is>
      </c>
      <c r="H61" t="inlineStr">
        <is>
          <t>Gap table</t>
        </is>
      </c>
      <c r="I61" t="inlineStr">
        <is>
          <t>Gap table, row 'Admin-defined custom fields'</t>
        </is>
      </c>
      <c r="J61" t="inlineStr">
        <is>
          <t>General</t>
        </is>
      </c>
      <c r="K61" t="inlineStr">
        <is>
          <t>SHOULD-HAVE</t>
        </is>
      </c>
      <c r="L61" t="inlineStr">
        <is>
          <t>Competitor matrix rule</t>
        </is>
      </c>
      <c r="M61" t="inlineStr">
        <is>
          <t>1 of 3 studied leaders offer it (LinkedIn); 2 not verified.</t>
        </is>
      </c>
      <c r="N61" t="inlineStr">
        <is>
          <t>Provisional</t>
        </is>
      </c>
      <c r="O61" t="inlineStr">
        <is>
          <t>Search summary only</t>
        </is>
      </c>
      <c r="P61" t="inlineStr">
        <is>
          <t>Deliberately left out</t>
        </is>
      </c>
      <c r="Q61" t="inlineStr">
        <is>
          <t>Falls short</t>
        </is>
      </c>
      <c r="R61" t="inlineStr">
        <is>
          <t>Derived from the gap table</t>
        </is>
      </c>
      <c r="S61" t="inlineStr">
        <is>
          <t>New insight</t>
        </is>
      </c>
      <c r="T61" t="inlineStr">
        <is>
          <t>Decision SO10: needs a generic field model that no other module uses, and the brief does not ask for it.</t>
        </is>
      </c>
      <c r="U61" t="inlineStr">
        <is>
          <t>OK</t>
        </is>
      </c>
      <c r="V61" t="inlineStr">
        <is>
          <t>Trace status: NEW INSIGHT</t>
        </is>
      </c>
    </row>
    <row r="62">
      <c r="A62" t="inlineStr">
        <is>
          <t>FD-059</t>
        </is>
      </c>
      <c r="B62" t="inlineStr">
        <is>
          <t>Feature</t>
        </is>
      </c>
      <c r="D62" t="inlineStr">
        <is>
          <t>Resume visible only through a campaign message</t>
        </is>
      </c>
      <c r="E62" t="inlineStr">
        <is>
          <t>A third resume privacy level: hidden from search but reachable by a campaign message.</t>
        </is>
      </c>
      <c r="F62" t="inlineStr">
        <is>
          <t>Profile</t>
        </is>
      </c>
      <c r="G62" t="inlineStr">
        <is>
          <t>Candidate</t>
        </is>
      </c>
      <c r="H62" t="inlineStr">
        <is>
          <t>Gap table</t>
        </is>
      </c>
      <c r="I62" t="inlineStr">
        <is>
          <t>Gap table, row 'Resume visibility private but reachable'</t>
        </is>
      </c>
      <c r="J62" t="inlineStr">
        <is>
          <t>General</t>
        </is>
      </c>
      <c r="K62" t="inlineStr">
        <is>
          <t>SHOULD-HAVE</t>
        </is>
      </c>
      <c r="L62" t="inlineStr">
        <is>
          <t>Competitor matrix rule</t>
        </is>
      </c>
      <c r="M62" t="inlineStr">
        <is>
          <t>1 of 3 studied leaders offer it (Monster); 2 not verified.</t>
        </is>
      </c>
      <c r="N62" t="inlineStr">
        <is>
          <t>Provisional</t>
        </is>
      </c>
      <c r="O62" t="inlineStr">
        <is>
          <t>Public</t>
        </is>
      </c>
      <c r="P62" t="inlineStr">
        <is>
          <t>Not built</t>
        </is>
      </c>
      <c r="Q62" t="inlineStr">
        <is>
          <t>Falls short</t>
        </is>
      </c>
      <c r="R62" t="inlineStr">
        <is>
          <t>Derived from the gap table</t>
        </is>
      </c>
      <c r="S62" t="inlineStr">
        <is>
          <t>New insight</t>
        </is>
      </c>
      <c r="U62" t="inlineStr">
        <is>
          <t>OK</t>
        </is>
      </c>
      <c r="V62" t="inlineStr">
        <is>
          <t>Evidence status: Public: page read | Trace status: NEW INSIGHT</t>
        </is>
      </c>
    </row>
    <row r="63">
      <c r="A63" t="inlineStr">
        <is>
          <t>FD-060</t>
        </is>
      </c>
      <c r="B63" t="inlineStr">
        <is>
          <t>Feature</t>
        </is>
      </c>
      <c r="D63" t="inlineStr">
        <is>
          <t>Screening question library and auto-reject</t>
        </is>
      </c>
      <c r="E63" t="inlineStr">
        <is>
          <t>A catalogue of question types, a saved questionnaire library and an automatic rejection email.</t>
        </is>
      </c>
      <c r="F63" t="inlineStr">
        <is>
          <t>Applications</t>
        </is>
      </c>
      <c r="G63" t="inlineStr">
        <is>
          <t>Hiring manager</t>
        </is>
      </c>
      <c r="H63" t="inlineStr">
        <is>
          <t>Gap table</t>
        </is>
      </c>
      <c r="I63" t="inlineStr">
        <is>
          <t>Gap table, row 'Screening question type catalogue'</t>
        </is>
      </c>
      <c r="J63" t="inlineStr">
        <is>
          <t>General</t>
        </is>
      </c>
      <c r="K63" t="inlineStr">
        <is>
          <t>MUST-HAVE</t>
        </is>
      </c>
      <c r="L63" t="inlineStr">
        <is>
          <t>Competitor matrix rule</t>
        </is>
      </c>
      <c r="M63" t="inlineStr">
        <is>
          <t>3 of 3 studied leaders offer it (Naukri, Monster, LinkedIn); 0 not verified.</t>
        </is>
      </c>
      <c r="N63" t="inlineStr">
        <is>
          <t>Firm</t>
        </is>
      </c>
      <c r="O63" t="inlineStr">
        <is>
          <t>Mixed</t>
        </is>
      </c>
      <c r="P63" t="inlineStr">
        <is>
          <t>Not built</t>
        </is>
      </c>
      <c r="Q63" t="inlineStr">
        <is>
          <t>Falls short</t>
        </is>
      </c>
      <c r="R63" t="inlineStr">
        <is>
          <t>Derived from the gap table</t>
        </is>
      </c>
      <c r="S63" t="inlineStr">
        <is>
          <t>New insight</t>
        </is>
      </c>
      <c r="U63" t="inlineStr">
        <is>
          <t>OK</t>
        </is>
      </c>
      <c r="V63" t="inlineStr">
        <is>
          <t>Evidence status: Mixed: page read and search summary | Trace status: NEW INSIGHT</t>
        </is>
      </c>
    </row>
    <row r="64">
      <c r="A64" t="inlineStr">
        <is>
          <t>FD-061</t>
        </is>
      </c>
      <c r="B64" t="inlineStr">
        <is>
          <t>Feature</t>
        </is>
      </c>
      <c r="D64" t="inlineStr">
        <is>
          <t>Filters on veteran status, clearance and graduation year</t>
        </is>
      </c>
      <c r="E64" t="inlineStr">
        <is>
          <t>Candidate attributes used as recruiter filters: military veteran, security clearance, year of graduation, resume updated window.</t>
        </is>
      </c>
      <c r="F64" t="inlineStr">
        <is>
          <t>Search</t>
        </is>
      </c>
      <c r="G64" t="inlineStr">
        <is>
          <t>Recruiter</t>
        </is>
      </c>
      <c r="H64" t="inlineStr">
        <is>
          <t>Gap table</t>
        </is>
      </c>
      <c r="I64" t="inlineStr">
        <is>
          <t>Gap table, row 'Candidate attributes used as employer filters'</t>
        </is>
      </c>
      <c r="J64" t="inlineStr">
        <is>
          <t>General</t>
        </is>
      </c>
      <c r="K64" t="inlineStr">
        <is>
          <t>SHOULD-HAVE</t>
        </is>
      </c>
      <c r="L64" t="inlineStr">
        <is>
          <t>Competitor matrix rule</t>
        </is>
      </c>
      <c r="M64" t="inlineStr">
        <is>
          <t>2 of 3 studied leaders offer it (Monster, LinkedIn); 1 not verified.</t>
        </is>
      </c>
      <c r="N64" t="inlineStr">
        <is>
          <t>Provisional</t>
        </is>
      </c>
      <c r="O64" t="inlineStr">
        <is>
          <t>Public</t>
        </is>
      </c>
      <c r="P64" t="inlineStr">
        <is>
          <t>Not built</t>
        </is>
      </c>
      <c r="Q64" t="inlineStr">
        <is>
          <t>Falls short</t>
        </is>
      </c>
      <c r="R64" t="inlineStr">
        <is>
          <t>Derived from the gap table</t>
        </is>
      </c>
      <c r="S64" t="inlineStr">
        <is>
          <t>New insight</t>
        </is>
      </c>
      <c r="U64" t="inlineStr">
        <is>
          <t>OK</t>
        </is>
      </c>
      <c r="V64" t="inlineStr">
        <is>
          <t>Evidence status: Public: page read | Trace status: NEW INSIGHT</t>
        </is>
      </c>
    </row>
    <row r="65">
      <c r="A65" t="inlineStr">
        <is>
          <t>FD-062</t>
        </is>
      </c>
      <c r="B65" t="inlineStr">
        <is>
          <t>Feature</t>
        </is>
      </c>
      <c r="D65" t="inlineStr">
        <is>
          <t>Platform-issued skill certificates</t>
        </is>
      </c>
      <c r="E65" t="inlineStr">
        <is>
          <t>The platform tests a skill and issues a certificate the candidate can show.</t>
        </is>
      </c>
      <c r="F65" t="inlineStr">
        <is>
          <t>Profile</t>
        </is>
      </c>
      <c r="G65" t="inlineStr">
        <is>
          <t>Candidate</t>
        </is>
      </c>
      <c r="H65" t="inlineStr">
        <is>
          <t>Gap table</t>
        </is>
      </c>
      <c r="I65" t="inlineStr">
        <is>
          <t>Gap table, row 'Platform-issued skill certifications'</t>
        </is>
      </c>
      <c r="J65" t="inlineStr">
        <is>
          <t>General</t>
        </is>
      </c>
      <c r="K65" t="inlineStr">
        <is>
          <t>SHOULD-HAVE</t>
        </is>
      </c>
      <c r="L65" t="inlineStr">
        <is>
          <t>Competitor matrix rule</t>
        </is>
      </c>
      <c r="M65" t="inlineStr">
        <is>
          <t>1 of 3 studied leaders offer it (Naukri); 2 not verified.</t>
        </is>
      </c>
      <c r="N65" t="inlineStr">
        <is>
          <t>Provisional</t>
        </is>
      </c>
      <c r="O65" t="inlineStr">
        <is>
          <t>Search summary only</t>
        </is>
      </c>
      <c r="P65" t="inlineStr">
        <is>
          <t>Not built</t>
        </is>
      </c>
      <c r="Q65" t="inlineStr">
        <is>
          <t>Falls short</t>
        </is>
      </c>
      <c r="R65" t="inlineStr">
        <is>
          <t>Derived from the gap table</t>
        </is>
      </c>
      <c r="S65" t="inlineStr">
        <is>
          <t>New insight</t>
        </is>
      </c>
      <c r="T65" t="inlineStr">
        <is>
          <t>Naukri evidence is a search summary.</t>
        </is>
      </c>
      <c r="U65" t="inlineStr">
        <is>
          <t>OK</t>
        </is>
      </c>
      <c r="V65" t="inlineStr">
        <is>
          <t>Trace status: NEW INSIGHT</t>
        </is>
      </c>
    </row>
    <row r="66">
      <c r="A66" t="inlineStr">
        <is>
          <t>FD-063</t>
        </is>
      </c>
      <c r="B66" t="inlineStr">
        <is>
          <t>Feature</t>
        </is>
      </c>
      <c r="D66" t="inlineStr">
        <is>
          <t>Alert and saved-job limits</t>
        </is>
      </c>
      <c r="E66" t="inlineStr">
        <is>
          <t>Caps on the number of job alerts and saved jobs a person may hold.</t>
        </is>
      </c>
      <c r="F66" t="inlineStr">
        <is>
          <t>Notifications and community</t>
        </is>
      </c>
      <c r="G66" t="inlineStr">
        <is>
          <t>Candidate</t>
        </is>
      </c>
      <c r="H66" t="inlineStr">
        <is>
          <t>Gap table</t>
        </is>
      </c>
      <c r="I66" t="inlineStr">
        <is>
          <t>Gap table, row 'Job alert and saved-job caps'</t>
        </is>
      </c>
      <c r="J66" t="inlineStr">
        <is>
          <t>General</t>
        </is>
      </c>
      <c r="K66" t="inlineStr">
        <is>
          <t>SHOULD-HAVE</t>
        </is>
      </c>
      <c r="L66" t="inlineStr">
        <is>
          <t>Competitor matrix rule</t>
        </is>
      </c>
      <c r="M66" t="inlineStr">
        <is>
          <t>2 of 3 studied leaders offer it (Monster, LinkedIn); 1 not verified.</t>
        </is>
      </c>
      <c r="N66" t="inlineStr">
        <is>
          <t>Provisional</t>
        </is>
      </c>
      <c r="O66" t="inlineStr">
        <is>
          <t>Search summary only</t>
        </is>
      </c>
      <c r="P66" t="inlineStr">
        <is>
          <t>Not built</t>
        </is>
      </c>
      <c r="Q66" t="inlineStr">
        <is>
          <t>Falls short</t>
        </is>
      </c>
      <c r="R66" t="inlineStr">
        <is>
          <t>Derived from the gap table</t>
        </is>
      </c>
      <c r="S66" t="inlineStr">
        <is>
          <t>New insight</t>
        </is>
      </c>
      <c r="T66" t="inlineStr">
        <is>
          <t>The delivery side has a daily cap per person and channel (NT6); the alert definition and its limit are not built.</t>
        </is>
      </c>
      <c r="U66" t="inlineStr">
        <is>
          <t>OK</t>
        </is>
      </c>
      <c r="V66" t="inlineStr">
        <is>
          <t>Trace status: NEW INSIGHT</t>
        </is>
      </c>
    </row>
    <row r="67">
      <c r="A67" t="inlineStr">
        <is>
          <t>FD-064</t>
        </is>
      </c>
      <c r="B67" t="inlineStr">
        <is>
          <t>Feature</t>
        </is>
      </c>
      <c r="D67" t="inlineStr">
        <is>
          <t>Credit holding cap per plan</t>
        </is>
      </c>
      <c r="E67" t="inlineStr">
        <is>
          <t>Unused credits accumulate up to a cap set by the plan.</t>
        </is>
      </c>
      <c r="F67" t="inlineStr">
        <is>
          <t>Licences, subscriptions and wallet</t>
        </is>
      </c>
      <c r="G67" t="inlineStr">
        <is>
          <t>Organisation administrator</t>
        </is>
      </c>
      <c r="H67" t="inlineStr">
        <is>
          <t>Gap table</t>
        </is>
      </c>
      <c r="I67" t="inlineStr">
        <is>
          <t>Gap table, row 'InMail style refund and accumulation rules'</t>
        </is>
      </c>
      <c r="J67" t="inlineStr">
        <is>
          <t>General</t>
        </is>
      </c>
      <c r="K67" t="inlineStr">
        <is>
          <t>SHOULD-HAVE</t>
        </is>
      </c>
      <c r="L67" t="inlineStr">
        <is>
          <t>Competitor matrix rule</t>
        </is>
      </c>
      <c r="M67" t="inlineStr">
        <is>
          <t>1 of 3 studied leaders offer it (LinkedIn); 2 not verified.</t>
        </is>
      </c>
      <c r="N67" t="inlineStr">
        <is>
          <t>Provisional</t>
        </is>
      </c>
      <c r="O67" t="inlineStr">
        <is>
          <t>Public</t>
        </is>
      </c>
      <c r="P67" t="inlineStr">
        <is>
          <t>Not built</t>
        </is>
      </c>
      <c r="Q67" t="inlineStr">
        <is>
          <t>Falls short</t>
        </is>
      </c>
      <c r="R67" t="inlineStr">
        <is>
          <t>Derived from the gap table</t>
        </is>
      </c>
      <c r="S67" t="inlineStr">
        <is>
          <t>New insight</t>
        </is>
      </c>
      <c r="T67" t="inlineStr">
        <is>
          <t>A reversal entry returns credits; the cap is not modelled.</t>
        </is>
      </c>
      <c r="U67" t="inlineStr">
        <is>
          <t>OK</t>
        </is>
      </c>
      <c r="V67" t="inlineStr">
        <is>
          <t>Evidence status: Public: page read | Trace status: NEW INSIGHT</t>
        </is>
      </c>
    </row>
    <row r="68">
      <c r="A68" t="inlineStr">
        <is>
          <t>FD-065</t>
        </is>
      </c>
      <c r="B68" t="inlineStr">
        <is>
          <t>Feature</t>
        </is>
      </c>
      <c r="D68" t="inlineStr">
        <is>
          <t>Outreach limit per candidate</t>
        </is>
      </c>
      <c r="E68" t="inlineStr">
        <is>
          <t>The same sender cannot contact the same candidate on the same channel more than once in 168 hours; the limit holds per person and per organisation.</t>
        </is>
      </c>
      <c r="F68" t="inlineStr">
        <is>
          <t>Consultants and sourcing</t>
        </is>
      </c>
      <c r="G68" t="inlineStr">
        <is>
          <t>Recruiter</t>
        </is>
      </c>
      <c r="H68" t="inlineStr">
        <is>
          <t>Gap table</t>
        </is>
      </c>
      <c r="I68" t="inlineStr">
        <is>
          <t>Gap table, row 'Outreach throttling per jobseeker'</t>
        </is>
      </c>
      <c r="J68" t="inlineStr">
        <is>
          <t>General</t>
        </is>
      </c>
      <c r="K68" t="inlineStr">
        <is>
          <t>SHOULD-HAVE</t>
        </is>
      </c>
      <c r="L68" t="inlineStr">
        <is>
          <t>Competitor matrix rule</t>
        </is>
      </c>
      <c r="M68" t="inlineStr">
        <is>
          <t>2 of 3 studied leaders offer it (Naukri, LinkedIn); 1 not verified.</t>
        </is>
      </c>
      <c r="N68" t="inlineStr">
        <is>
          <t>Provisional</t>
        </is>
      </c>
      <c r="O68" t="inlineStr">
        <is>
          <t>Search summary only</t>
        </is>
      </c>
      <c r="P68" t="inlineStr">
        <is>
          <t>Built and tested</t>
        </is>
      </c>
      <c r="Q68" t="inlineStr">
        <is>
          <t>Matches</t>
        </is>
      </c>
      <c r="R68" t="inlineStr">
        <is>
          <t>Derived from the gap table</t>
        </is>
      </c>
      <c r="S68" t="inlineStr">
        <is>
          <t>Traced</t>
        </is>
      </c>
      <c r="T68" t="inlineStr">
        <is>
          <t>The limit of two different emails per week and the lock until reply are not built.</t>
        </is>
      </c>
      <c r="U68" t="inlineStr">
        <is>
          <t>OK</t>
        </is>
      </c>
      <c r="V68" t="inlineStr">
        <is>
          <t>Trace status: Traced to requirement</t>
        </is>
      </c>
    </row>
    <row r="69">
      <c r="A69" t="inlineStr">
        <is>
          <t>FD-066</t>
        </is>
      </c>
      <c r="B69" t="inlineStr">
        <is>
          <t>Feature</t>
        </is>
      </c>
      <c r="D69" t="inlineStr">
        <is>
          <t>Notification preferences and delivery controls</t>
        </is>
      </c>
      <c r="E69" t="inlineStr">
        <is>
          <t>A person sets preferences by topic and channel, quiet hours and a daily cap; unsubscribe and bounce handling; a mandatory topic for security alerts.</t>
        </is>
      </c>
      <c r="F69" t="inlineStr">
        <is>
          <t>Notifications and community</t>
        </is>
      </c>
      <c r="G69" t="inlineStr">
        <is>
          <t>Candidate</t>
        </is>
      </c>
      <c r="H69" t="inlineStr">
        <is>
          <t>Gap table</t>
        </is>
      </c>
      <c r="I69" t="inlineStr">
        <is>
          <t>Gap table, row 'Notification preferences'</t>
        </is>
      </c>
      <c r="J69" t="inlineStr">
        <is>
          <t>General</t>
        </is>
      </c>
      <c r="K69" t="inlineStr">
        <is>
          <t>MUST-HAVE</t>
        </is>
      </c>
      <c r="L69" t="inlineStr">
        <is>
          <t>Competitor matrix rule</t>
        </is>
      </c>
      <c r="M69" t="inlineStr">
        <is>
          <t>3 of 3 studied leaders offer it (Naukri, Monster, LinkedIn); 0 not verified.</t>
        </is>
      </c>
      <c r="N69" t="inlineStr">
        <is>
          <t>Firm</t>
        </is>
      </c>
      <c r="O69" t="inlineStr">
        <is>
          <t>Gap table</t>
        </is>
      </c>
      <c r="P69" t="inlineStr">
        <is>
          <t>Built and tested</t>
        </is>
      </c>
      <c r="Q69" t="inlineStr">
        <is>
          <t>Matches</t>
        </is>
      </c>
      <c r="R69" t="inlineStr">
        <is>
          <t>Derived from the gap table</t>
        </is>
      </c>
      <c r="S69" t="inlineStr">
        <is>
          <t>Traced</t>
        </is>
      </c>
      <c r="U69" t="inlineStr">
        <is>
          <t>OK</t>
        </is>
      </c>
      <c r="V69" t="inlineStr">
        <is>
          <t>Evidence status: Gap table (evidence not marked per row) | Trace status: Traced to requirement</t>
        </is>
      </c>
    </row>
    <row r="70">
      <c r="A70" t="inlineStr">
        <is>
          <t>FD-067</t>
        </is>
      </c>
      <c r="B70" t="inlineStr">
        <is>
          <t>Feature</t>
        </is>
      </c>
      <c r="D70" t="inlineStr">
        <is>
          <t>Community posts and moderation</t>
        </is>
      </c>
      <c r="E70" t="inlineStr">
        <is>
          <t>Posts, comments, reactions and reports, with a moderation status, audited moderation and the blocking list respected.</t>
        </is>
      </c>
      <c r="F70" t="inlineStr">
        <is>
          <t>Notifications and community</t>
        </is>
      </c>
      <c r="G70" t="inlineStr">
        <is>
          <t>Candidate</t>
        </is>
      </c>
      <c r="H70" t="inlineStr">
        <is>
          <t>Gap table</t>
        </is>
      </c>
      <c r="I70" t="inlineStr">
        <is>
          <t>Gap table, row 'Community posts'</t>
        </is>
      </c>
      <c r="J70" t="inlineStr">
        <is>
          <t>General</t>
        </is>
      </c>
      <c r="K70" t="inlineStr">
        <is>
          <t>SHOULD-HAVE</t>
        </is>
      </c>
      <c r="L70" t="inlineStr">
        <is>
          <t>Competitor matrix rule</t>
        </is>
      </c>
      <c r="M70" t="inlineStr">
        <is>
          <t>2 of 3 studied leaders offer it (Naukri, LinkedIn); 1 not verified.</t>
        </is>
      </c>
      <c r="N70" t="inlineStr">
        <is>
          <t>Provisional</t>
        </is>
      </c>
      <c r="O70" t="inlineStr">
        <is>
          <t>Gap table</t>
        </is>
      </c>
      <c r="P70" t="inlineStr">
        <is>
          <t>Built and tested</t>
        </is>
      </c>
      <c r="Q70" t="inlineStr">
        <is>
          <t>Matches</t>
        </is>
      </c>
      <c r="R70" t="inlineStr">
        <is>
          <t>Derived from the gap table</t>
        </is>
      </c>
      <c r="S70" t="inlineStr">
        <is>
          <t>Traced</t>
        </is>
      </c>
      <c r="U70" t="inlineStr">
        <is>
          <t>OK</t>
        </is>
      </c>
      <c r="V70" t="inlineStr">
        <is>
          <t>Evidence status: Gap table (evidence not marked per row) | Trace status: Traced to requirement</t>
        </is>
      </c>
    </row>
    <row r="71">
      <c r="A71" t="inlineStr">
        <is>
          <t>FD-068</t>
        </is>
      </c>
      <c r="B71" t="inlineStr">
        <is>
          <t>Feature</t>
        </is>
      </c>
      <c r="D71" t="inlineStr">
        <is>
          <t>Recruiter dashboards</t>
        </is>
      </c>
      <c r="E71" t="inlineStr">
        <is>
          <t>Applications by stage, credit use and delivery results, from daily marts that hide groups smaller than five.</t>
        </is>
      </c>
      <c r="F71" t="inlineStr">
        <is>
          <t>Analytics</t>
        </is>
      </c>
      <c r="G71" t="inlineStr">
        <is>
          <t>Data analyst</t>
        </is>
      </c>
      <c r="H71" t="inlineStr">
        <is>
          <t>Gap table</t>
        </is>
      </c>
      <c r="I71" t="inlineStr">
        <is>
          <t>Gap table, row 'Dashboards'</t>
        </is>
      </c>
      <c r="J71" t="inlineStr">
        <is>
          <t>General</t>
        </is>
      </c>
      <c r="K71" t="inlineStr">
        <is>
          <t>SHOULD-HAVE</t>
        </is>
      </c>
      <c r="L71" t="inlineStr">
        <is>
          <t>Competitor matrix rule</t>
        </is>
      </c>
      <c r="M71" t="inlineStr">
        <is>
          <t>2 of 3 studied leaders offer it (Naukri, LinkedIn); 1 not verified.</t>
        </is>
      </c>
      <c r="N71" t="inlineStr">
        <is>
          <t>Provisional</t>
        </is>
      </c>
      <c r="O71" t="inlineStr">
        <is>
          <t>Gap table</t>
        </is>
      </c>
      <c r="P71" t="inlineStr">
        <is>
          <t>Built and tested</t>
        </is>
      </c>
      <c r="Q71" t="inlineStr">
        <is>
          <t>Matches</t>
        </is>
      </c>
      <c r="R71" t="inlineStr">
        <is>
          <t>Derived from the gap table</t>
        </is>
      </c>
      <c r="S71" t="inlineStr">
        <is>
          <t>Traced</t>
        </is>
      </c>
      <c r="U71" t="inlineStr">
        <is>
          <t>OK</t>
        </is>
      </c>
      <c r="V71" t="inlineStr">
        <is>
          <t>Evidence status: Gap table (evidence not marked per row) | Trace status: Traced to requirement</t>
        </is>
      </c>
    </row>
    <row r="72">
      <c r="A72" t="inlineStr">
        <is>
          <t>FD-069</t>
        </is>
      </c>
      <c r="B72" t="inlineStr">
        <is>
          <t>Feature</t>
        </is>
      </c>
      <c r="D72" t="inlineStr">
        <is>
          <t>Background photo and photo visibility</t>
        </is>
      </c>
      <c r="E72" t="inlineStr">
        <is>
          <t>A second picture and a setting for who may see the photo.</t>
        </is>
      </c>
      <c r="F72" t="inlineStr">
        <is>
          <t>Profile</t>
        </is>
      </c>
      <c r="G72" t="inlineStr">
        <is>
          <t>Candidate</t>
        </is>
      </c>
      <c r="H72" t="inlineStr">
        <is>
          <t>Verification log</t>
        </is>
      </c>
      <c r="I72" t="inlineStr">
        <is>
          <t>LinkedIn verification table</t>
        </is>
      </c>
      <c r="J72" t="inlineStr">
        <is>
          <t>General</t>
        </is>
      </c>
      <c r="K72" t="inlineStr">
        <is>
          <t>SHOULD-HAVE</t>
        </is>
      </c>
      <c r="L72" t="inlineStr">
        <is>
          <t>Competitor matrix rule</t>
        </is>
      </c>
      <c r="M72" t="inlineStr">
        <is>
          <t>1 of 3 studied leaders offer it (LinkedIn); 2 not verified.</t>
        </is>
      </c>
      <c r="N72" t="inlineStr">
        <is>
          <t>Provisional</t>
        </is>
      </c>
      <c r="O72" t="inlineStr">
        <is>
          <t>Verification log</t>
        </is>
      </c>
      <c r="P72" t="inlineStr">
        <is>
          <t>Not built</t>
        </is>
      </c>
      <c r="Q72" t="inlineStr">
        <is>
          <t>Falls short</t>
        </is>
      </c>
      <c r="R72" t="inlineStr">
        <is>
          <t>Derived from the gap table</t>
        </is>
      </c>
      <c r="S72" t="inlineStr">
        <is>
          <t>New insight</t>
        </is>
      </c>
      <c r="U72" t="inlineStr">
        <is>
          <t>OK</t>
        </is>
      </c>
      <c r="V72" t="inlineStr">
        <is>
          <t>Source type: LinkedIn verification table | Evidence status: Verification log (page or snippet, not marked per row) | Trace status: NEW INSIGHT</t>
        </is>
      </c>
    </row>
    <row r="73">
      <c r="A73" t="inlineStr">
        <is>
          <t>FD-070</t>
        </is>
      </c>
      <c r="B73" t="inlineStr">
        <is>
          <t>Feature</t>
        </is>
      </c>
      <c r="D73" t="inlineStr">
        <is>
          <t>Open to work audience</t>
        </is>
      </c>
      <c r="E73" t="inlineStr">
        <is>
          <t>Who sees the open-to-work signal: all members, recruiters only, or only the person.</t>
        </is>
      </c>
      <c r="F73" t="inlineStr">
        <is>
          <t>Profile</t>
        </is>
      </c>
      <c r="G73" t="inlineStr">
        <is>
          <t>Candidate</t>
        </is>
      </c>
      <c r="H73" t="inlineStr">
        <is>
          <t>Verification log</t>
        </is>
      </c>
      <c r="I73" t="inlineStr">
        <is>
          <t>LinkedIn verification table</t>
        </is>
      </c>
      <c r="J73" t="inlineStr">
        <is>
          <t>General</t>
        </is>
      </c>
      <c r="K73" t="inlineStr">
        <is>
          <t>SHOULD-HAVE</t>
        </is>
      </c>
      <c r="L73" t="inlineStr">
        <is>
          <t>Competitor matrix rule</t>
        </is>
      </c>
      <c r="M73" t="inlineStr">
        <is>
          <t>1 of 3 studied leaders offer it (LinkedIn); 2 not verified.</t>
        </is>
      </c>
      <c r="N73" t="inlineStr">
        <is>
          <t>Provisional</t>
        </is>
      </c>
      <c r="O73" t="inlineStr">
        <is>
          <t>Verification log</t>
        </is>
      </c>
      <c r="P73" t="inlineStr">
        <is>
          <t>Not built</t>
        </is>
      </c>
      <c r="Q73" t="inlineStr">
        <is>
          <t>Falls short</t>
        </is>
      </c>
      <c r="R73" t="inlineStr">
        <is>
          <t>Derived from the gap table</t>
        </is>
      </c>
      <c r="S73" t="inlineStr">
        <is>
          <t>New insight</t>
        </is>
      </c>
      <c r="U73" t="inlineStr">
        <is>
          <t>OK</t>
        </is>
      </c>
      <c r="V73" t="inlineStr">
        <is>
          <t>Source type: LinkedIn verification table | Evidence status: Verification log (page or snippet, not marked per row) | Trace status: NEW INSIGHT</t>
        </is>
      </c>
    </row>
    <row r="74">
      <c r="A74" t="inlineStr">
        <is>
          <t>FD-071</t>
        </is>
      </c>
      <c r="B74" t="inlineStr">
        <is>
          <t>Feature</t>
        </is>
      </c>
      <c r="D74" t="inlineStr">
        <is>
          <t>Kind of verification</t>
        </is>
      </c>
      <c r="E74" t="inlineStr">
        <is>
          <t>A verification badge by kind: identity, workplace or education.</t>
        </is>
      </c>
      <c r="F74" t="inlineStr">
        <is>
          <t>Profile</t>
        </is>
      </c>
      <c r="G74" t="inlineStr">
        <is>
          <t>Candidate</t>
        </is>
      </c>
      <c r="H74" t="inlineStr">
        <is>
          <t>Verification log</t>
        </is>
      </c>
      <c r="I74" t="inlineStr">
        <is>
          <t>LinkedIn verification table</t>
        </is>
      </c>
      <c r="J74" t="inlineStr">
        <is>
          <t>General</t>
        </is>
      </c>
      <c r="K74" t="inlineStr">
        <is>
          <t>SHOULD-HAVE</t>
        </is>
      </c>
      <c r="L74" t="inlineStr">
        <is>
          <t>Competitor matrix rule</t>
        </is>
      </c>
      <c r="M74" t="inlineStr">
        <is>
          <t>1 of 3 studied leaders offer it (LinkedIn); 1 not verified.</t>
        </is>
      </c>
      <c r="N74" t="inlineStr">
        <is>
          <t>Provisional</t>
        </is>
      </c>
      <c r="O74" t="inlineStr">
        <is>
          <t>Verification log</t>
        </is>
      </c>
      <c r="P74" t="inlineStr">
        <is>
          <t>Not built</t>
        </is>
      </c>
      <c r="Q74" t="inlineStr">
        <is>
          <t>Falls short</t>
        </is>
      </c>
      <c r="R74" t="inlineStr">
        <is>
          <t>Derived from the gap table</t>
        </is>
      </c>
      <c r="S74" t="inlineStr">
        <is>
          <t>New insight</t>
        </is>
      </c>
      <c r="U74" t="inlineStr">
        <is>
          <t>OK</t>
        </is>
      </c>
      <c r="V74" t="inlineStr">
        <is>
          <t>Source type: LinkedIn verification table | Evidence status: Verification log (page or snippet, not marked per row) | Trace status: NEW INSIGHT</t>
        </is>
      </c>
    </row>
    <row r="75">
      <c r="A75" t="inlineStr">
        <is>
          <t>FD-072</t>
        </is>
      </c>
      <c r="B75" t="inlineStr">
        <is>
          <t>Feature</t>
        </is>
      </c>
      <c r="D75" t="inlineStr">
        <is>
          <t>Viewer visibility mode on a profile view</t>
        </is>
      </c>
      <c r="E75" t="inlineStr">
        <is>
          <t>A person can view a profile in a named visibility mode, and the view records it.</t>
        </is>
      </c>
      <c r="F75" t="inlineStr">
        <is>
          <t>Profile</t>
        </is>
      </c>
      <c r="G75" t="inlineStr">
        <is>
          <t>Candidate</t>
        </is>
      </c>
      <c r="H75" t="inlineStr">
        <is>
          <t>Verification log</t>
        </is>
      </c>
      <c r="I75" t="inlineStr">
        <is>
          <t>LinkedIn verification table</t>
        </is>
      </c>
      <c r="J75" t="inlineStr">
        <is>
          <t>General</t>
        </is>
      </c>
      <c r="K75" t="inlineStr">
        <is>
          <t>SHOULD-HAVE</t>
        </is>
      </c>
      <c r="L75" t="inlineStr">
        <is>
          <t>Competitor matrix rule</t>
        </is>
      </c>
      <c r="M75" t="inlineStr">
        <is>
          <t>1 of 3 studied leaders offer it (LinkedIn); 2 not verified.</t>
        </is>
      </c>
      <c r="N75" t="inlineStr">
        <is>
          <t>Provisional</t>
        </is>
      </c>
      <c r="O75" t="inlineStr">
        <is>
          <t>Verification log</t>
        </is>
      </c>
      <c r="P75" t="inlineStr">
        <is>
          <t>Not built</t>
        </is>
      </c>
      <c r="Q75" t="inlineStr">
        <is>
          <t>Falls short</t>
        </is>
      </c>
      <c r="R75" t="inlineStr">
        <is>
          <t>Derived from the gap table</t>
        </is>
      </c>
      <c r="S75" t="inlineStr">
        <is>
          <t>New insight</t>
        </is>
      </c>
      <c r="U75" t="inlineStr">
        <is>
          <t>OK</t>
        </is>
      </c>
      <c r="V75" t="inlineStr">
        <is>
          <t>Source type: LinkedIn verification table | Evidence status: Verification log (page or snippet, not marked per row) | Trace status: NEW INSIGHT</t>
        </is>
      </c>
    </row>
    <row r="76">
      <c r="A76" t="inlineStr">
        <is>
          <t>FD-073</t>
        </is>
      </c>
      <c r="B76" t="inlineStr">
        <is>
          <t>Feature</t>
        </is>
      </c>
      <c r="D76" t="inlineStr">
        <is>
          <t>Richer job posting fields</t>
        </is>
      </c>
      <c r="E76" t="inlineStr">
        <is>
          <t>Seniority, job function, workplace type, pay frequency, benefits and the way to apply.</t>
        </is>
      </c>
      <c r="F76" t="inlineStr">
        <is>
          <t>Jobs</t>
        </is>
      </c>
      <c r="G76" t="inlineStr">
        <is>
          <t>Hiring manager</t>
        </is>
      </c>
      <c r="H76" t="inlineStr">
        <is>
          <t>Verification log</t>
        </is>
      </c>
      <c r="I76" t="inlineStr">
        <is>
          <t>LinkedIn verification table</t>
        </is>
      </c>
      <c r="J76" t="inlineStr">
        <is>
          <t>General</t>
        </is>
      </c>
      <c r="K76" t="inlineStr">
        <is>
          <t>SHOULD-HAVE</t>
        </is>
      </c>
      <c r="L76" t="inlineStr">
        <is>
          <t>Competitor matrix rule</t>
        </is>
      </c>
      <c r="M76" t="inlineStr">
        <is>
          <t>1 of 3 studied leaders offer it (LinkedIn); 2 not verified.</t>
        </is>
      </c>
      <c r="N76" t="inlineStr">
        <is>
          <t>Provisional</t>
        </is>
      </c>
      <c r="O76" t="inlineStr">
        <is>
          <t>Verification log</t>
        </is>
      </c>
      <c r="P76" t="inlineStr">
        <is>
          <t>Not built</t>
        </is>
      </c>
      <c r="Q76" t="inlineStr">
        <is>
          <t>Falls short</t>
        </is>
      </c>
      <c r="R76" t="inlineStr">
        <is>
          <t>Derived from the gap table</t>
        </is>
      </c>
      <c r="S76" t="inlineStr">
        <is>
          <t>New insight</t>
        </is>
      </c>
      <c r="T76" t="inlineStr">
        <is>
          <t>Some, such as work mode, exist; the register lists seniority, function, benefits and apply method as missing.</t>
        </is>
      </c>
      <c r="U76" t="inlineStr">
        <is>
          <t>OK</t>
        </is>
      </c>
      <c r="V76" t="inlineStr">
        <is>
          <t>Source type: LinkedIn verification table | Evidence status: Verification log (page or snippet, not marked per row) | Trace status: NEW INSIGHT</t>
        </is>
      </c>
    </row>
    <row r="77">
      <c r="A77" t="inlineStr">
        <is>
          <t>FD-074</t>
        </is>
      </c>
      <c r="B77" t="inlineStr">
        <is>
          <t>Feature</t>
        </is>
      </c>
      <c r="D77" t="inlineStr">
        <is>
          <t>Must-have flag on a screening question</t>
        </is>
      </c>
      <c r="E77" t="inlineStr">
        <is>
          <t>A question can be marked must-have, and failing it archives the application with a rejection email.</t>
        </is>
      </c>
      <c r="F77" t="inlineStr">
        <is>
          <t>Applications</t>
        </is>
      </c>
      <c r="G77" t="inlineStr">
        <is>
          <t>Hiring manager</t>
        </is>
      </c>
      <c r="H77" t="inlineStr">
        <is>
          <t>Verification log</t>
        </is>
      </c>
      <c r="I77" t="inlineStr">
        <is>
          <t>LinkedIn verification table</t>
        </is>
      </c>
      <c r="J77" t="inlineStr">
        <is>
          <t>General</t>
        </is>
      </c>
      <c r="K77" t="inlineStr">
        <is>
          <t>SHOULD-HAVE</t>
        </is>
      </c>
      <c r="L77" t="inlineStr">
        <is>
          <t>Competitor matrix rule</t>
        </is>
      </c>
      <c r="M77" t="inlineStr">
        <is>
          <t>1 of 3 studied leaders offer it (LinkedIn); 2 not verified.</t>
        </is>
      </c>
      <c r="N77" t="inlineStr">
        <is>
          <t>Provisional</t>
        </is>
      </c>
      <c r="O77" t="inlineStr">
        <is>
          <t>Verification log</t>
        </is>
      </c>
      <c r="P77" t="inlineStr">
        <is>
          <t>Not built</t>
        </is>
      </c>
      <c r="Q77" t="inlineStr">
        <is>
          <t>Falls short</t>
        </is>
      </c>
      <c r="R77" t="inlineStr">
        <is>
          <t>Derived from the gap table</t>
        </is>
      </c>
      <c r="S77" t="inlineStr">
        <is>
          <t>New insight</t>
        </is>
      </c>
      <c r="T77" t="inlineStr">
        <is>
          <t>is_required exists only.</t>
        </is>
      </c>
      <c r="U77" t="inlineStr">
        <is>
          <t>OK</t>
        </is>
      </c>
      <c r="V77" t="inlineStr">
        <is>
          <t>Source type: LinkedIn verification table | Evidence status: Verification log (page or snippet, not marked per row) | Trace status: NEW INSIGHT</t>
        </is>
      </c>
    </row>
    <row r="78">
      <c r="A78" t="inlineStr">
        <is>
          <t>FD-075</t>
        </is>
      </c>
      <c r="B78" t="inlineStr">
        <is>
          <t>Feature</t>
        </is>
      </c>
      <c r="D78" t="inlineStr">
        <is>
          <t>Pipeline stage per recruiter project</t>
        </is>
      </c>
      <c r="E78" t="inlineStr">
        <is>
          <t>A recruiter moves a saved candidate through stages inside a project.</t>
        </is>
      </c>
      <c r="F78" t="inlineStr">
        <is>
          <t>Hiring workflow</t>
        </is>
      </c>
      <c r="G78" t="inlineStr">
        <is>
          <t>Recruiter</t>
        </is>
      </c>
      <c r="H78" t="inlineStr">
        <is>
          <t>Verification log</t>
        </is>
      </c>
      <c r="I78" t="inlineStr">
        <is>
          <t>LinkedIn verification table</t>
        </is>
      </c>
      <c r="J78" t="inlineStr">
        <is>
          <t>General</t>
        </is>
      </c>
      <c r="K78" t="inlineStr">
        <is>
          <t>SHOULD-HAVE</t>
        </is>
      </c>
      <c r="L78" t="inlineStr">
        <is>
          <t>Competitor matrix rule</t>
        </is>
      </c>
      <c r="M78" t="inlineStr">
        <is>
          <t>1 of 3 studied leaders offer it (LinkedIn); 2 not verified.</t>
        </is>
      </c>
      <c r="N78" t="inlineStr">
        <is>
          <t>Provisional</t>
        </is>
      </c>
      <c r="O78" t="inlineStr">
        <is>
          <t>Verification log</t>
        </is>
      </c>
      <c r="P78" t="inlineStr">
        <is>
          <t>Not built</t>
        </is>
      </c>
      <c r="Q78" t="inlineStr">
        <is>
          <t>Falls short</t>
        </is>
      </c>
      <c r="R78" t="inlineStr">
        <is>
          <t>Derived from the gap table</t>
        </is>
      </c>
      <c r="S78" t="inlineStr">
        <is>
          <t>New insight</t>
        </is>
      </c>
      <c r="T78" t="inlineStr">
        <is>
          <t>shortlist_entry has no stage.</t>
        </is>
      </c>
      <c r="U78" t="inlineStr">
        <is>
          <t>OK</t>
        </is>
      </c>
      <c r="V78" t="inlineStr">
        <is>
          <t>Source type: LinkedIn verification table | Evidence status: Verification log (page or snippet, not marked per row) | Trace status: NEW INSIGHT</t>
        </is>
      </c>
    </row>
    <row r="79">
      <c r="A79" t="inlineStr">
        <is>
          <t>FD-076</t>
        </is>
      </c>
      <c r="B79" t="inlineStr">
        <is>
          <t>Feature</t>
        </is>
      </c>
      <c r="D79" t="inlineStr">
        <is>
          <t>Company page fields</t>
        </is>
      </c>
      <c r="E79" t="inlineStr">
        <is>
          <t>Employee count range, specialties, headquarters flag, year founded and page verification.</t>
        </is>
      </c>
      <c r="F79" t="inlineStr">
        <is>
          <t>Organisation and admin</t>
        </is>
      </c>
      <c r="G79" t="inlineStr">
        <is>
          <t>Organisation administrator</t>
        </is>
      </c>
      <c r="H79" t="inlineStr">
        <is>
          <t>Verification log</t>
        </is>
      </c>
      <c r="I79" t="inlineStr">
        <is>
          <t>LinkedIn verification table</t>
        </is>
      </c>
      <c r="J79" t="inlineStr">
        <is>
          <t>General</t>
        </is>
      </c>
      <c r="K79" t="inlineStr">
        <is>
          <t>SHOULD-HAVE</t>
        </is>
      </c>
      <c r="L79" t="inlineStr">
        <is>
          <t>Competitor matrix rule</t>
        </is>
      </c>
      <c r="M79" t="inlineStr">
        <is>
          <t>1 of 3 studied leaders offer it (LinkedIn); 2 not verified.</t>
        </is>
      </c>
      <c r="N79" t="inlineStr">
        <is>
          <t>Provisional</t>
        </is>
      </c>
      <c r="O79" t="inlineStr">
        <is>
          <t>Verification log</t>
        </is>
      </c>
      <c r="P79" t="inlineStr">
        <is>
          <t>Not built</t>
        </is>
      </c>
      <c r="Q79" t="inlineStr">
        <is>
          <t>Falls short</t>
        </is>
      </c>
      <c r="R79" t="inlineStr">
        <is>
          <t>Derived from the gap table</t>
        </is>
      </c>
      <c r="S79" t="inlineStr">
        <is>
          <t>New insight</t>
        </is>
      </c>
      <c r="T79" t="inlineStr">
        <is>
          <t>The register says the field comparison is still to do.</t>
        </is>
      </c>
      <c r="U79" t="inlineStr">
        <is>
          <t>OK</t>
        </is>
      </c>
      <c r="V79" t="inlineStr">
        <is>
          <t>Source type: LinkedIn verification table | Evidence status: Verification log (page or snippet, not marked per row) | Trace status: NEW INSIGHT</t>
        </is>
      </c>
    </row>
    <row r="80">
      <c r="A80" t="inlineStr">
        <is>
          <t>FD-077</t>
        </is>
      </c>
      <c r="B80" t="inlineStr">
        <is>
          <t>Feature</t>
        </is>
      </c>
      <c r="D80" t="inlineStr">
        <is>
          <t>Estimated salary range</t>
        </is>
      </c>
      <c r="E80" t="inlineStr">
        <is>
          <t>The listing shows an estimated range when the employer gives none.</t>
        </is>
      </c>
      <c r="F80" t="inlineStr">
        <is>
          <t>Jobs</t>
        </is>
      </c>
      <c r="G80" t="inlineStr">
        <is>
          <t>Candidate</t>
        </is>
      </c>
      <c r="H80" t="inlineStr">
        <is>
          <t>Verification log</t>
        </is>
      </c>
      <c r="I80" t="inlineStr">
        <is>
          <t>LinkedIn verification table</t>
        </is>
      </c>
      <c r="J80" t="inlineStr">
        <is>
          <t>General</t>
        </is>
      </c>
      <c r="K80" t="inlineStr">
        <is>
          <t>SHOULD-HAVE</t>
        </is>
      </c>
      <c r="L80" t="inlineStr">
        <is>
          <t>Competitor matrix rule</t>
        </is>
      </c>
      <c r="M80" t="inlineStr">
        <is>
          <t>1 of 3 studied leaders offer it (LinkedIn); 2 not verified.</t>
        </is>
      </c>
      <c r="N80" t="inlineStr">
        <is>
          <t>Provisional</t>
        </is>
      </c>
      <c r="O80" t="inlineStr">
        <is>
          <t>Verification log</t>
        </is>
      </c>
      <c r="P80" t="inlineStr">
        <is>
          <t>Not built</t>
        </is>
      </c>
      <c r="Q80" t="inlineStr">
        <is>
          <t>Falls short</t>
        </is>
      </c>
      <c r="R80" t="inlineStr">
        <is>
          <t>Derived from the gap table</t>
        </is>
      </c>
      <c r="S80" t="inlineStr">
        <is>
          <t>New insight</t>
        </is>
      </c>
      <c r="U80" t="inlineStr">
        <is>
          <t>OK</t>
        </is>
      </c>
      <c r="V80" t="inlineStr">
        <is>
          <t>Source type: LinkedIn verification table | Evidence status: Verification log (page or snippet, not marked per row) | Trace status: NEW INSIGHT</t>
        </is>
      </c>
    </row>
    <row r="81">
      <c r="A81" t="inlineStr">
        <is>
          <t>FD-078</t>
        </is>
      </c>
      <c r="B81" t="inlineStr">
        <is>
          <t>Feature</t>
        </is>
      </c>
      <c r="D81" t="inlineStr">
        <is>
          <t>Append-only audit trail written by the database</t>
        </is>
      </c>
      <c r="E81" t="inlineStr">
        <is>
          <t>Who did which sensitive action to what and when. Nobody can change a row; the database writes the rows for sign-in, views, downloads, exports and licence changes.</t>
        </is>
      </c>
      <c r="F81" t="inlineStr">
        <is>
          <t>Privacy and security</t>
        </is>
      </c>
      <c r="G81" t="inlineStr">
        <is>
          <t>Compliance and privacy officer</t>
        </is>
      </c>
      <c r="H81" t="inlineStr">
        <is>
          <t>Own insight</t>
        </is>
      </c>
      <c r="I81" t="inlineStr">
        <is>
          <t>Capability built in the modules; not shown to users by the studied products</t>
        </is>
      </c>
      <c r="J81" t="inlineStr">
        <is>
          <t>Not observable</t>
        </is>
      </c>
      <c r="K81" t="inlineStr">
        <is>
          <t>MUST-HAVE</t>
        </is>
      </c>
      <c r="L81" t="inlineStr">
        <is>
          <t>Recorded rule</t>
        </is>
      </c>
      <c r="M81" t="inlineStr">
        <is>
          <t>Recorded rule: NFR-07 and decision A8 (history is append-only)</t>
        </is>
      </c>
      <c r="N81" t="inlineStr">
        <is>
          <t>Declared</t>
        </is>
      </c>
      <c r="O81" t="inlineStr">
        <is>
          <t>Own design</t>
        </is>
      </c>
      <c r="P81" t="inlineStr">
        <is>
          <t>Built and tested</t>
        </is>
      </c>
      <c r="Q81" t="inlineStr">
        <is>
          <t>Not compared</t>
        </is>
      </c>
      <c r="R81" t="inlineStr">
        <is>
          <t>No competitor claim</t>
        </is>
      </c>
      <c r="S81" t="inlineStr">
        <is>
          <t>Traced</t>
        </is>
      </c>
      <c r="U81" t="inlineStr">
        <is>
          <t>declared</t>
        </is>
      </c>
      <c r="V81" t="inlineStr">
        <is>
          <t>Class basis: Recorded rule: NFR-07 and decision A8 (history is append-only) | Confidence: Declared (not observable) | Evidence status: Own design (no competitor claim) | Trace status: Traced to requirement</t>
        </is>
      </c>
    </row>
    <row r="82">
      <c r="A82" t="inlineStr">
        <is>
          <t>FD-079</t>
        </is>
      </c>
      <c r="B82" t="inlineStr">
        <is>
          <t>Feature</t>
        </is>
      </c>
      <c r="D82" t="inlineStr">
        <is>
          <t>Consent history</t>
        </is>
      </c>
      <c r="E82" t="inlineStr">
        <is>
          <t>Consent decisions are kept as history with the document version; a withdrawal is a new row.</t>
        </is>
      </c>
      <c r="F82" t="inlineStr">
        <is>
          <t>Privacy and security</t>
        </is>
      </c>
      <c r="G82" t="inlineStr">
        <is>
          <t>Compliance and privacy officer</t>
        </is>
      </c>
      <c r="H82" t="inlineStr">
        <is>
          <t>Own insight</t>
        </is>
      </c>
      <c r="I82" t="inlineStr">
        <is>
          <t>Capability built in the modules; not shown to users by the studied products</t>
        </is>
      </c>
      <c r="J82" t="inlineStr">
        <is>
          <t>Not observable</t>
        </is>
      </c>
      <c r="K82" t="inlineStr">
        <is>
          <t>MUST-HAVE</t>
        </is>
      </c>
      <c r="L82" t="inlineStr">
        <is>
          <t>Recorded rule</t>
        </is>
      </c>
      <c r="M82" t="inlineStr">
        <is>
          <t>Recorded rule: decision A8 (consent history is append-only)</t>
        </is>
      </c>
      <c r="N82" t="inlineStr">
        <is>
          <t>Declared</t>
        </is>
      </c>
      <c r="O82" t="inlineStr">
        <is>
          <t>Own design</t>
        </is>
      </c>
      <c r="P82" t="inlineStr">
        <is>
          <t>Built and tested</t>
        </is>
      </c>
      <c r="Q82" t="inlineStr">
        <is>
          <t>Not compared</t>
        </is>
      </c>
      <c r="R82" t="inlineStr">
        <is>
          <t>No competitor claim</t>
        </is>
      </c>
      <c r="S82" t="inlineStr">
        <is>
          <t>Traced</t>
        </is>
      </c>
      <c r="U82" t="inlineStr">
        <is>
          <t>declared</t>
        </is>
      </c>
      <c r="V82" t="inlineStr">
        <is>
          <t>Class basis: Recorded rule: decision A8 (consent history is append-only) | Confidence: Declared (not observable) | Evidence status: Own design (no competitor claim) | Trace status: Traced to requirement</t>
        </is>
      </c>
    </row>
    <row r="83">
      <c r="A83" t="inlineStr">
        <is>
          <t>FD-080</t>
        </is>
      </c>
      <c r="B83" t="inlineStr">
        <is>
          <t>Feature</t>
        </is>
      </c>
      <c r="D83" t="inlineStr">
        <is>
          <t>Erasure by scrubbing, keeping history</t>
        </is>
      </c>
      <c r="E83" t="inlineStr">
        <is>
          <t>A person is erased through one entry point that scrubs personal text everywhere while counts, money and the audit trail remain.</t>
        </is>
      </c>
      <c r="F83" t="inlineStr">
        <is>
          <t>Privacy and security</t>
        </is>
      </c>
      <c r="G83" t="inlineStr">
        <is>
          <t>Compliance and privacy officer</t>
        </is>
      </c>
      <c r="H83" t="inlineStr">
        <is>
          <t>Own insight</t>
        </is>
      </c>
      <c r="I83" t="inlineStr">
        <is>
          <t>Capability built in the modules; not shown to users by the studied products</t>
        </is>
      </c>
      <c r="J83" t="inlineStr">
        <is>
          <t>Not observable</t>
        </is>
      </c>
      <c r="K83" t="inlineStr">
        <is>
          <t>MUST-HAVE</t>
        </is>
      </c>
      <c r="L83" t="inlineStr">
        <is>
          <t>Recorded rule</t>
        </is>
      </c>
      <c r="M83" t="inlineStr">
        <is>
          <t>Recorded rule: NFR-12 and the team approval of erasure by scrubbing (X7)</t>
        </is>
      </c>
      <c r="N83" t="inlineStr">
        <is>
          <t>Declared</t>
        </is>
      </c>
      <c r="O83" t="inlineStr">
        <is>
          <t>Own design</t>
        </is>
      </c>
      <c r="P83" t="inlineStr">
        <is>
          <t>Built and tested</t>
        </is>
      </c>
      <c r="Q83" t="inlineStr">
        <is>
          <t>Not compared</t>
        </is>
      </c>
      <c r="R83" t="inlineStr">
        <is>
          <t>No competitor claim</t>
        </is>
      </c>
      <c r="S83" t="inlineStr">
        <is>
          <t>Traced</t>
        </is>
      </c>
      <c r="U83" t="inlineStr">
        <is>
          <t>declared</t>
        </is>
      </c>
      <c r="V83" t="inlineStr">
        <is>
          <t>Class basis: Recorded rule: NFR-12 and the team approval of erasure by scrubbing (X7) | Confidence: Declared (not observable) | Evidence status: Own design (no competitor claim) | Trace status: Traced to requirement</t>
        </is>
      </c>
    </row>
    <row r="84">
      <c r="A84" t="inlineStr">
        <is>
          <t>FD-081</t>
        </is>
      </c>
      <c r="B84" t="inlineStr">
        <is>
          <t>Feature</t>
        </is>
      </c>
      <c r="D84" t="inlineStr">
        <is>
          <t>Roles and permissions with dates and scope</t>
        </is>
      </c>
      <c r="E84" t="inlineStr">
        <is>
          <t>A role is granted for a period, optionally for one organisation; one active grant per account, role and organisation.</t>
        </is>
      </c>
      <c r="F84" t="inlineStr">
        <is>
          <t>Organisation and admin</t>
        </is>
      </c>
      <c r="G84" t="inlineStr">
        <is>
          <t>Platform administrator</t>
        </is>
      </c>
      <c r="H84" t="inlineStr">
        <is>
          <t>Own insight</t>
        </is>
      </c>
      <c r="I84" t="inlineStr">
        <is>
          <t>Capability built in the modules; not shown to users by the studied products</t>
        </is>
      </c>
      <c r="J84" t="inlineStr">
        <is>
          <t>Not observable</t>
        </is>
      </c>
      <c r="K84" t="inlineStr">
        <is>
          <t>SHOULD-HAVE</t>
        </is>
      </c>
      <c r="L84" t="inlineStr">
        <is>
          <t>Supporting capability</t>
        </is>
      </c>
      <c r="M84" t="inlineStr">
        <is>
          <t>Supporting capability (not compared with competitors)</t>
        </is>
      </c>
      <c r="N84" t="inlineStr">
        <is>
          <t>Declared</t>
        </is>
      </c>
      <c r="O84" t="inlineStr">
        <is>
          <t>Own design</t>
        </is>
      </c>
      <c r="P84" t="inlineStr">
        <is>
          <t>Built and tested</t>
        </is>
      </c>
      <c r="Q84" t="inlineStr">
        <is>
          <t>Not compared</t>
        </is>
      </c>
      <c r="R84" t="inlineStr">
        <is>
          <t>No competitor claim</t>
        </is>
      </c>
      <c r="S84" t="inlineStr">
        <is>
          <t>Traced</t>
        </is>
      </c>
      <c r="U84" t="inlineStr">
        <is>
          <t>declared</t>
        </is>
      </c>
      <c r="V84" t="inlineStr">
        <is>
          <t>Class basis: Supporting capability (not compared with competitors) | Confidence: Declared (not observable) | Evidence status: Own design (no competitor claim) | Trace status: Traced to requirement</t>
        </is>
      </c>
    </row>
    <row r="85">
      <c r="A85" t="inlineStr">
        <is>
          <t>FD-082</t>
        </is>
      </c>
      <c r="B85" t="inlineStr">
        <is>
          <t>Feature</t>
        </is>
      </c>
      <c r="D85" t="inlineStr">
        <is>
          <t>Row-level security by organisation and by person</t>
        </is>
      </c>
      <c r="E85" t="inlineStr">
        <is>
          <t>The database decides which rows each type of user sees: an organisation reads its own rows, a candidate reads their own, a blocked party sees nothing.</t>
        </is>
      </c>
      <c r="F85" t="inlineStr">
        <is>
          <t>Privacy and security</t>
        </is>
      </c>
      <c r="G85" t="inlineStr">
        <is>
          <t>Compliance and privacy officer</t>
        </is>
      </c>
      <c r="H85" t="inlineStr">
        <is>
          <t>Own insight</t>
        </is>
      </c>
      <c r="I85" t="inlineStr">
        <is>
          <t>Capability built in the modules; not shown to users by the studied products</t>
        </is>
      </c>
      <c r="J85" t="inlineStr">
        <is>
          <t>Not observable</t>
        </is>
      </c>
      <c r="K85" t="inlineStr">
        <is>
          <t>MUST-HAVE</t>
        </is>
      </c>
      <c r="L85" t="inlineStr">
        <is>
          <t>Brief demands</t>
        </is>
      </c>
      <c r="M85" t="inlineStr">
        <is>
          <t>Brief demands: the blocked-party rule (decision A7) and NFR-09</t>
        </is>
      </c>
      <c r="N85" t="inlineStr">
        <is>
          <t>Declared</t>
        </is>
      </c>
      <c r="O85" t="inlineStr">
        <is>
          <t>Own design</t>
        </is>
      </c>
      <c r="P85" t="inlineStr">
        <is>
          <t>Built and tested</t>
        </is>
      </c>
      <c r="Q85" t="inlineStr">
        <is>
          <t>Not compared</t>
        </is>
      </c>
      <c r="R85" t="inlineStr">
        <is>
          <t>No competitor claim</t>
        </is>
      </c>
      <c r="S85" t="inlineStr">
        <is>
          <t>Traced</t>
        </is>
      </c>
      <c r="U85" t="inlineStr">
        <is>
          <t>declared</t>
        </is>
      </c>
      <c r="V85" t="inlineStr">
        <is>
          <t>Class basis: Brief demands: the blocked-party rule (decision A7) and NFR-09 | Confidence: Declared (not observable) | Evidence status: Own design (no competitor claim) | Trace status: Traced to requirement</t>
        </is>
      </c>
    </row>
    <row r="86">
      <c r="A86" t="inlineStr">
        <is>
          <t>FD-083</t>
        </is>
      </c>
      <c r="B86" t="inlineStr">
        <is>
          <t>Feature</t>
        </is>
      </c>
      <c r="D86" t="inlineStr">
        <is>
          <t>Monthly partitions and stated retention</t>
        </is>
      </c>
      <c r="E86" t="inlineStr">
        <is>
          <t>The largest tables are split by month or by candidate, each with a stated retention period; the audit trail is never dropped.</t>
        </is>
      </c>
      <c r="F86" t="inlineStr">
        <is>
          <t>Platform and scale</t>
        </is>
      </c>
      <c r="G86" t="inlineStr">
        <is>
          <t>Platform operator</t>
        </is>
      </c>
      <c r="H86" t="inlineStr">
        <is>
          <t>Own insight</t>
        </is>
      </c>
      <c r="I86" t="inlineStr">
        <is>
          <t>Capability built in the modules; not shown to users by the studied products</t>
        </is>
      </c>
      <c r="J86" t="inlineStr">
        <is>
          <t>Not observable</t>
        </is>
      </c>
      <c r="K86" t="inlineStr">
        <is>
          <t>MUST-HAVE</t>
        </is>
      </c>
      <c r="L86" t="inlineStr">
        <is>
          <t>Brief demands</t>
        </is>
      </c>
      <c r="M86" t="inlineStr">
        <is>
          <t>Brief demands: partitioning of the largest tables (docs/schema-justification.md); NFR-01 and NFR-02</t>
        </is>
      </c>
      <c r="N86" t="inlineStr">
        <is>
          <t>Declared</t>
        </is>
      </c>
      <c r="O86" t="inlineStr">
        <is>
          <t>Own design</t>
        </is>
      </c>
      <c r="P86" t="inlineStr">
        <is>
          <t>Built and tested</t>
        </is>
      </c>
      <c r="Q86" t="inlineStr">
        <is>
          <t>Not compared</t>
        </is>
      </c>
      <c r="R86" t="inlineStr">
        <is>
          <t>No competitor claim</t>
        </is>
      </c>
      <c r="S86" t="inlineStr">
        <is>
          <t>Traced</t>
        </is>
      </c>
      <c r="U86" t="inlineStr">
        <is>
          <t>declared</t>
        </is>
      </c>
      <c r="V86" t="inlineStr">
        <is>
          <t>Class basis: Brief demands: partitioning of the largest tables (docs/schema-justification.md); NFR-01 and NFR-02 | Confidence: Declared (not observable) | Evidence status: Own design (no competitor claim) | Trace status: Traced to requirement</t>
        </is>
      </c>
    </row>
    <row r="87">
      <c r="A87" t="inlineStr">
        <is>
          <t>FD-084</t>
        </is>
      </c>
      <c r="B87" t="inlineStr">
        <is>
          <t>Feature</t>
        </is>
      </c>
      <c r="D87" t="inlineStr">
        <is>
          <t>Limits that hold under parallel sessions</t>
        </is>
      </c>
      <c r="E87" t="inlineStr">
        <is>
          <t>Seat, device and session limits, the wallet balance and the one-application rule hold when two sessions act at the same moment.</t>
        </is>
      </c>
      <c r="F87" t="inlineStr">
        <is>
          <t>Platform and scale</t>
        </is>
      </c>
      <c r="G87" t="inlineStr">
        <is>
          <t>Platform operator</t>
        </is>
      </c>
      <c r="H87" t="inlineStr">
        <is>
          <t>Own insight</t>
        </is>
      </c>
      <c r="I87" t="inlineStr">
        <is>
          <t>Capability built in the modules; not shown to users by the studied products</t>
        </is>
      </c>
      <c r="J87" t="inlineStr">
        <is>
          <t>Not observable</t>
        </is>
      </c>
      <c r="K87" t="inlineStr">
        <is>
          <t>MUST-HAVE</t>
        </is>
      </c>
      <c r="L87" t="inlineStr">
        <is>
          <t>Brief demands</t>
        </is>
      </c>
      <c r="M87" t="inlineStr">
        <is>
          <t>Brief demands: licence and concurrency limits enforced by constraint or locking (rule group 2, docs/rule-compliance.md)</t>
        </is>
      </c>
      <c r="N87" t="inlineStr">
        <is>
          <t>Declared</t>
        </is>
      </c>
      <c r="O87" t="inlineStr">
        <is>
          <t>Own design</t>
        </is>
      </c>
      <c r="P87" t="inlineStr">
        <is>
          <t>Built and tested</t>
        </is>
      </c>
      <c r="Q87" t="inlineStr">
        <is>
          <t>Not compared</t>
        </is>
      </c>
      <c r="R87" t="inlineStr">
        <is>
          <t>No competitor claim</t>
        </is>
      </c>
      <c r="S87" t="inlineStr">
        <is>
          <t>Traced</t>
        </is>
      </c>
      <c r="U87" t="inlineStr">
        <is>
          <t>declared</t>
        </is>
      </c>
      <c r="V87" t="inlineStr">
        <is>
          <t>Class basis: Brief demands: licence and concurrency limits enforced by constraint or locking (rule group 2, docs/rule-compliance.md) | Confidence: Declared (not observable) | Evidence status: Own design (no competitor claim) | Trace status: Traced to requirement</t>
        </is>
      </c>
    </row>
    <row r="88">
      <c r="A88" t="inlineStr">
        <is>
          <t>FD-085</t>
        </is>
      </c>
      <c r="B88" t="inlineStr">
        <is>
          <t>Feature</t>
        </is>
      </c>
      <c r="D88" t="inlineStr">
        <is>
          <t>Outside-system exchange log</t>
        </is>
      </c>
      <c r="E88" t="inlineStr">
        <is>
          <t>Every message to or from the nine outside systems is logged with a hash of the body, never the body; a repeated message adds nothing.</t>
        </is>
      </c>
      <c r="F88" t="inlineStr">
        <is>
          <t>Organisation and admin</t>
        </is>
      </c>
      <c r="G88" t="inlineStr">
        <is>
          <t>Integration service</t>
        </is>
      </c>
      <c r="H88" t="inlineStr">
        <is>
          <t>Own insight</t>
        </is>
      </c>
      <c r="I88" t="inlineStr">
        <is>
          <t>Capability built in the modules; not shown to users by the studied products</t>
        </is>
      </c>
      <c r="J88" t="inlineStr">
        <is>
          <t>Not observable</t>
        </is>
      </c>
      <c r="K88" t="inlineStr">
        <is>
          <t>MUST-HAVE</t>
        </is>
      </c>
      <c r="L88" t="inlineStr">
        <is>
          <t>Brief demands</t>
        </is>
      </c>
      <c r="M88" t="inlineStr">
        <is>
          <t>Brief demands: what each of the nine systems must store (docs/integration-boundaries.md)</t>
        </is>
      </c>
      <c r="N88" t="inlineStr">
        <is>
          <t>Declared</t>
        </is>
      </c>
      <c r="O88" t="inlineStr">
        <is>
          <t>Own design</t>
        </is>
      </c>
      <c r="P88" t="inlineStr">
        <is>
          <t>Built and tested</t>
        </is>
      </c>
      <c r="Q88" t="inlineStr">
        <is>
          <t>Not compared</t>
        </is>
      </c>
      <c r="R88" t="inlineStr">
        <is>
          <t>No competitor claim</t>
        </is>
      </c>
      <c r="S88" t="inlineStr">
        <is>
          <t>Traced</t>
        </is>
      </c>
      <c r="U88" t="inlineStr">
        <is>
          <t>declared</t>
        </is>
      </c>
      <c r="V88" t="inlineStr">
        <is>
          <t>Class basis: Brief demands: what each of the nine systems must store (docs/integration-boundaries.md) | Confidence: Declared (not observable) | Evidence status: Own design (no competitor claim) | Trace status: Traced to requirement</t>
        </is>
      </c>
    </row>
    <row r="89">
      <c r="A89" t="inlineStr">
        <is>
          <t>FD-086</t>
        </is>
      </c>
      <c r="B89" t="inlineStr">
        <is>
          <t>Feature</t>
        </is>
      </c>
      <c r="D89" t="inlineStr">
        <is>
          <t>Links to the old systems</t>
        </is>
      </c>
      <c r="E89" t="inlineStr">
        <is>
          <t>Records of the old systems are kept with sync direction, status, last error and source version, for candidates and for jobs.</t>
        </is>
      </c>
      <c r="F89" t="inlineStr">
        <is>
          <t>Organisation and admin</t>
        </is>
      </c>
      <c r="G89" t="inlineStr">
        <is>
          <t>Integration service</t>
        </is>
      </c>
      <c r="H89" t="inlineStr">
        <is>
          <t>Own insight</t>
        </is>
      </c>
      <c r="I89" t="inlineStr">
        <is>
          <t>Capability built in the modules; not shown to users by the studied products</t>
        </is>
      </c>
      <c r="J89" t="inlineStr">
        <is>
          <t>Not observable</t>
        </is>
      </c>
      <c r="K89" t="inlineStr">
        <is>
          <t>MUST-HAVE</t>
        </is>
      </c>
      <c r="L89" t="inlineStr">
        <is>
          <t>Brief demands</t>
        </is>
      </c>
      <c r="M89" t="inlineStr">
        <is>
          <t>Brief demands: a sync direction per field and one conflict rule (docs/integration-boundaries.md); one direction per record is built</t>
        </is>
      </c>
      <c r="N89" t="inlineStr">
        <is>
          <t>Declared</t>
        </is>
      </c>
      <c r="O89" t="inlineStr">
        <is>
          <t>Own design</t>
        </is>
      </c>
      <c r="P89" t="inlineStr">
        <is>
          <t>Built and tested</t>
        </is>
      </c>
      <c r="Q89" t="inlineStr">
        <is>
          <t>Not compared</t>
        </is>
      </c>
      <c r="R89" t="inlineStr">
        <is>
          <t>No competitor claim</t>
        </is>
      </c>
      <c r="S89" t="inlineStr">
        <is>
          <t>Traced</t>
        </is>
      </c>
      <c r="U89" t="inlineStr">
        <is>
          <t>declared</t>
        </is>
      </c>
      <c r="V89" t="inlineStr">
        <is>
          <t>Class basis: Brief demands: a sync direction per field and one conflict rule (docs/integration-boundaries.md); one direction per record is built | Confidence: Declared (not observable) | Evidence status: Own design (no competitor claim) | Trace status: Traced to requirement</t>
        </is>
      </c>
    </row>
    <row r="90">
      <c r="A90" t="inlineStr">
        <is>
          <t>FD-087</t>
        </is>
      </c>
      <c r="B90" t="inlineStr">
        <is>
          <t>Feature</t>
        </is>
      </c>
      <c r="D90" t="inlineStr">
        <is>
          <t>Append-only credit ledger with a balance check</t>
        </is>
      </c>
      <c r="E90" t="inlineStr">
        <is>
          <t>Credits move only through an append-only ledger; the wallet balance is a copy that a function can check against the ledger.</t>
        </is>
      </c>
      <c r="F90" t="inlineStr">
        <is>
          <t>Licences, subscriptions and wallet</t>
        </is>
      </c>
      <c r="G90" t="inlineStr">
        <is>
          <t>Organisation administrator</t>
        </is>
      </c>
      <c r="H90" t="inlineStr">
        <is>
          <t>Own insight</t>
        </is>
      </c>
      <c r="I90" t="inlineStr">
        <is>
          <t>Capability built in the modules; not shown to users by the studied products</t>
        </is>
      </c>
      <c r="J90" t="inlineStr">
        <is>
          <t>Not observable</t>
        </is>
      </c>
      <c r="K90" t="inlineStr">
        <is>
          <t>SHOULD-HAVE</t>
        </is>
      </c>
      <c r="L90" t="inlineStr">
        <is>
          <t>Supporting capability</t>
        </is>
      </c>
      <c r="M90" t="inlineStr">
        <is>
          <t>Supporting capability: how credits (a compared feature) stay correct</t>
        </is>
      </c>
      <c r="N90" t="inlineStr">
        <is>
          <t>Declared</t>
        </is>
      </c>
      <c r="O90" t="inlineStr">
        <is>
          <t>Own design</t>
        </is>
      </c>
      <c r="P90" t="inlineStr">
        <is>
          <t>Built and tested</t>
        </is>
      </c>
      <c r="Q90" t="inlineStr">
        <is>
          <t>Not compared</t>
        </is>
      </c>
      <c r="R90" t="inlineStr">
        <is>
          <t>No competitor claim</t>
        </is>
      </c>
      <c r="S90" t="inlineStr">
        <is>
          <t>Traced</t>
        </is>
      </c>
      <c r="U90" t="inlineStr">
        <is>
          <t>declared</t>
        </is>
      </c>
      <c r="V90" t="inlineStr">
        <is>
          <t>Class basis: Supporting capability: how credits (a compared feature) stay correct | Confidence: Declared (not observable) | Evidence status: Own design (no competitor claim) | Trace status: Traced to requirement</t>
        </is>
      </c>
    </row>
    <row r="91">
      <c r="A91" t="inlineStr">
        <is>
          <t>FD-088</t>
        </is>
      </c>
      <c r="B91" t="inlineStr">
        <is>
          <t>Feature</t>
        </is>
      </c>
      <c r="D91" t="inlineStr">
        <is>
          <t>Payment messages stored once</t>
        </is>
      </c>
      <c r="E91" t="inlineStr">
        <is>
          <t>Payments are stored as the gateway's messages; a repeated message adds nothing and a refund cannot exceed its charge. No card data is stored.</t>
        </is>
      </c>
      <c r="F91" t="inlineStr">
        <is>
          <t>Licences, subscriptions and wallet</t>
        </is>
      </c>
      <c r="G91" t="inlineStr">
        <is>
          <t>Organisation administrator</t>
        </is>
      </c>
      <c r="H91" t="inlineStr">
        <is>
          <t>Own insight</t>
        </is>
      </c>
      <c r="I91" t="inlineStr">
        <is>
          <t>Capability built in the modules; not shown to users by the studied products</t>
        </is>
      </c>
      <c r="J91" t="inlineStr">
        <is>
          <t>Not observable</t>
        </is>
      </c>
      <c r="K91" t="inlineStr">
        <is>
          <t>SHOULD-HAVE</t>
        </is>
      </c>
      <c r="L91" t="inlineStr">
        <is>
          <t>Supporting capability</t>
        </is>
      </c>
      <c r="M91" t="inlineStr">
        <is>
          <t>Supporting capability (not compared with competitors)</t>
        </is>
      </c>
      <c r="N91" t="inlineStr">
        <is>
          <t>Declared</t>
        </is>
      </c>
      <c r="O91" t="inlineStr">
        <is>
          <t>Own design</t>
        </is>
      </c>
      <c r="P91" t="inlineStr">
        <is>
          <t>Built and tested</t>
        </is>
      </c>
      <c r="Q91" t="inlineStr">
        <is>
          <t>Not compared</t>
        </is>
      </c>
      <c r="R91" t="inlineStr">
        <is>
          <t>No competitor claim</t>
        </is>
      </c>
      <c r="S91" t="inlineStr">
        <is>
          <t>Traced</t>
        </is>
      </c>
      <c r="U91" t="inlineStr">
        <is>
          <t>declared</t>
        </is>
      </c>
      <c r="V91" t="inlineStr">
        <is>
          <t>Class basis: Supporting capability (not compared with competitors) | Confidence: Declared (not observable) | Evidence status: Own design (no competitor claim) | Trace status: Traced to requirement</t>
        </is>
      </c>
    </row>
    <row r="92">
      <c r="A92" t="inlineStr">
        <is>
          <t>FD-089</t>
        </is>
      </c>
      <c r="B92" t="inlineStr">
        <is>
          <t>Feature</t>
        </is>
      </c>
      <c r="D92" t="inlineStr">
        <is>
          <t>Subscription plans and periods without overlap</t>
        </is>
      </c>
      <c r="E92" t="inlineStr">
        <is>
          <t>A subscription is a period of one licence on a plan; periods of one licence never overlap, and price and credits are copied and frozen when bought.</t>
        </is>
      </c>
      <c r="F92" t="inlineStr">
        <is>
          <t>Licences, subscriptions and wallet</t>
        </is>
      </c>
      <c r="G92" t="inlineStr">
        <is>
          <t>Organisation administrator</t>
        </is>
      </c>
      <c r="H92" t="inlineStr">
        <is>
          <t>Own insight</t>
        </is>
      </c>
      <c r="I92" t="inlineStr">
        <is>
          <t>Capability built in the modules; not shown to users by the studied products</t>
        </is>
      </c>
      <c r="J92" t="inlineStr">
        <is>
          <t>Not observable</t>
        </is>
      </c>
      <c r="K92" t="inlineStr">
        <is>
          <t>MUST-HAVE</t>
        </is>
      </c>
      <c r="L92" t="inlineStr">
        <is>
          <t>Brief demands</t>
        </is>
      </c>
      <c r="M92" t="inlineStr">
        <is>
          <t>Brief demands: non-overlapping periods (decision SB1: brief rule 10)</t>
        </is>
      </c>
      <c r="N92" t="inlineStr">
        <is>
          <t>Declared</t>
        </is>
      </c>
      <c r="O92" t="inlineStr">
        <is>
          <t>Own design</t>
        </is>
      </c>
      <c r="P92" t="inlineStr">
        <is>
          <t>Built and tested</t>
        </is>
      </c>
      <c r="Q92" t="inlineStr">
        <is>
          <t>Not compared</t>
        </is>
      </c>
      <c r="R92" t="inlineStr">
        <is>
          <t>No competitor claim</t>
        </is>
      </c>
      <c r="S92" t="inlineStr">
        <is>
          <t>Traced</t>
        </is>
      </c>
      <c r="U92" t="inlineStr">
        <is>
          <t>declared</t>
        </is>
      </c>
      <c r="V92" t="inlineStr">
        <is>
          <t>Class basis: Brief demands: non-overlapping periods (decision SB1: brief rule 10) | Confidence: Declared (not observable) | Evidence status: Own design (no competitor claim) | Trace status: Traced to requirement</t>
        </is>
      </c>
    </row>
    <row r="93">
      <c r="A93" t="inlineStr">
        <is>
          <t>FD-090</t>
        </is>
      </c>
      <c r="B93" t="inlineStr">
        <is>
          <t>Feature</t>
        </is>
      </c>
      <c r="D93" t="inlineStr">
        <is>
          <t>Message queue that never sends twice</t>
        </is>
      </c>
      <c r="E93" t="inlineStr">
        <is>
          <t>A message is queued once per person, channel and event; workers claim messages with a lease so two workers never send the same one; every message is checked again at send time.</t>
        </is>
      </c>
      <c r="F93" t="inlineStr">
        <is>
          <t>Notifications and community</t>
        </is>
      </c>
      <c r="G93" t="inlineStr">
        <is>
          <t>Platform operator</t>
        </is>
      </c>
      <c r="H93" t="inlineStr">
        <is>
          <t>Own insight</t>
        </is>
      </c>
      <c r="I93" t="inlineStr">
        <is>
          <t>Capability built in the modules; not shown to users by the studied products</t>
        </is>
      </c>
      <c r="J93" t="inlineStr">
        <is>
          <t>Not observable</t>
        </is>
      </c>
      <c r="K93" t="inlineStr">
        <is>
          <t>MUST-HAVE</t>
        </is>
      </c>
      <c r="L93" t="inlineStr">
        <is>
          <t>Brief demands</t>
        </is>
      </c>
      <c r="M93" t="inlineStr">
        <is>
          <t>Brief demands: the high-volume write path of deliveries (decision NT11)</t>
        </is>
      </c>
      <c r="N93" t="inlineStr">
        <is>
          <t>Declared</t>
        </is>
      </c>
      <c r="O93" t="inlineStr">
        <is>
          <t>Own design</t>
        </is>
      </c>
      <c r="P93" t="inlineStr">
        <is>
          <t>Built and tested</t>
        </is>
      </c>
      <c r="Q93" t="inlineStr">
        <is>
          <t>Not compared</t>
        </is>
      </c>
      <c r="R93" t="inlineStr">
        <is>
          <t>No competitor claim</t>
        </is>
      </c>
      <c r="S93" t="inlineStr">
        <is>
          <t>Traced</t>
        </is>
      </c>
      <c r="U93" t="inlineStr">
        <is>
          <t>declared</t>
        </is>
      </c>
      <c r="V93" t="inlineStr">
        <is>
          <t>Class basis: Brief demands: the high-volume write path of deliveries (decision NT11) | Confidence: Declared (not observable) | Evidence status: Own design (no competitor claim) | Trace status: Traced to requirement</t>
        </is>
      </c>
    </row>
    <row r="94">
      <c r="A94" t="inlineStr">
        <is>
          <t>FD-091</t>
        </is>
      </c>
      <c r="B94" t="inlineStr">
        <is>
          <t>Feature</t>
        </is>
      </c>
      <c r="D94" t="inlineStr">
        <is>
          <t>Reports that hide small groups</t>
        </is>
      </c>
      <c r="E94" t="inlineStr">
        <is>
          <t>Report views show a count only when it reaches five, with no personal columns in any mart.</t>
        </is>
      </c>
      <c r="F94" t="inlineStr">
        <is>
          <t>Analytics</t>
        </is>
      </c>
      <c r="G94" t="inlineStr">
        <is>
          <t>Data analyst</t>
        </is>
      </c>
      <c r="H94" t="inlineStr">
        <is>
          <t>Own insight</t>
        </is>
      </c>
      <c r="I94" t="inlineStr">
        <is>
          <t>Capability built in the modules; not shown to users by the studied products</t>
        </is>
      </c>
      <c r="J94" t="inlineStr">
        <is>
          <t>Not observable</t>
        </is>
      </c>
      <c r="K94" t="inlineStr">
        <is>
          <t>MUST-HAVE</t>
        </is>
      </c>
      <c r="L94" t="inlineStr">
        <is>
          <t>Brief demands</t>
        </is>
      </c>
      <c r="M94" t="inlineStr">
        <is>
          <t>Brief demands: counts in reports (decisions AN1 and AN12)</t>
        </is>
      </c>
      <c r="N94" t="inlineStr">
        <is>
          <t>Declared</t>
        </is>
      </c>
      <c r="O94" t="inlineStr">
        <is>
          <t>Own design</t>
        </is>
      </c>
      <c r="P94" t="inlineStr">
        <is>
          <t>Built and tested</t>
        </is>
      </c>
      <c r="Q94" t="inlineStr">
        <is>
          <t>Not compared</t>
        </is>
      </c>
      <c r="R94" t="inlineStr">
        <is>
          <t>No competitor claim</t>
        </is>
      </c>
      <c r="S94" t="inlineStr">
        <is>
          <t>Traced</t>
        </is>
      </c>
      <c r="U94" t="inlineStr">
        <is>
          <t>declared</t>
        </is>
      </c>
      <c r="V94" t="inlineStr">
        <is>
          <t>Class basis: Brief demands: counts in reports (decisions AN1 and AN12) | Confidence: Declared (not observable) | Evidence status: Own design (no competitor claim) | Trace status: Traced to requirement</t>
        </is>
      </c>
    </row>
    <row r="95">
      <c r="A95" t="inlineStr">
        <is>
          <t>FD-092</t>
        </is>
      </c>
      <c r="B95" t="inlineStr">
        <is>
          <t>Feature</t>
        </is>
      </c>
      <c r="D95" t="inlineStr">
        <is>
          <t>History-keeping reporting dimensions</t>
        </is>
      </c>
      <c r="E95" t="inlineStr">
        <is>
          <t>Organisations and jobs keep one row per version, so an old report still names things as they were.</t>
        </is>
      </c>
      <c r="F95" t="inlineStr">
        <is>
          <t>Analytics</t>
        </is>
      </c>
      <c r="G95" t="inlineStr">
        <is>
          <t>Data analyst</t>
        </is>
      </c>
      <c r="H95" t="inlineStr">
        <is>
          <t>Own insight</t>
        </is>
      </c>
      <c r="I95" t="inlineStr">
        <is>
          <t>Capability built in the modules; not shown to users by the studied products</t>
        </is>
      </c>
      <c r="J95" t="inlineStr">
        <is>
          <t>Not observable</t>
        </is>
      </c>
      <c r="K95" t="inlineStr">
        <is>
          <t>SHOULD-HAVE</t>
        </is>
      </c>
      <c r="L95" t="inlineStr">
        <is>
          <t>Supporting capability</t>
        </is>
      </c>
      <c r="M95" t="inlineStr">
        <is>
          <t>Supporting capability (not compared with competitors)</t>
        </is>
      </c>
      <c r="N95" t="inlineStr">
        <is>
          <t>Declared</t>
        </is>
      </c>
      <c r="O95" t="inlineStr">
        <is>
          <t>Own design</t>
        </is>
      </c>
      <c r="P95" t="inlineStr">
        <is>
          <t>Built and tested</t>
        </is>
      </c>
      <c r="Q95" t="inlineStr">
        <is>
          <t>Not compared</t>
        </is>
      </c>
      <c r="R95" t="inlineStr">
        <is>
          <t>No competitor claim</t>
        </is>
      </c>
      <c r="S95" t="inlineStr">
        <is>
          <t>Traced</t>
        </is>
      </c>
      <c r="U95" t="inlineStr">
        <is>
          <t>declared</t>
        </is>
      </c>
      <c r="V95" t="inlineStr">
        <is>
          <t>Class basis: Supporting capability (not compared with competitors) | Confidence: Declared (not observable) | Evidence status: Own design (no competitor claim) | Trace status: Traced to requirement</t>
        </is>
      </c>
    </row>
    <row r="96">
      <c r="A96" t="inlineStr">
        <is>
          <t>FD-093</t>
        </is>
      </c>
      <c r="B96" t="inlineStr">
        <is>
          <t>Feature</t>
        </is>
      </c>
      <c r="D96" t="inlineStr">
        <is>
          <t>Lookup lists with translations</t>
        </is>
      </c>
      <c r="E96" t="inlineStr">
        <is>
          <t>Every enumeration is a lookup table with a stable code, name and sort order; names and screen text are translated per language.</t>
        </is>
      </c>
      <c r="F96" t="inlineStr">
        <is>
          <t>Organisation and admin</t>
        </is>
      </c>
      <c r="G96" t="inlineStr">
        <is>
          <t>Platform operator</t>
        </is>
      </c>
      <c r="H96" t="inlineStr">
        <is>
          <t>Own insight</t>
        </is>
      </c>
      <c r="I96" t="inlineStr">
        <is>
          <t>Capability built in the modules; not shown to users by the studied products</t>
        </is>
      </c>
      <c r="J96" t="inlineStr">
        <is>
          <t>Not observable</t>
        </is>
      </c>
      <c r="K96" t="inlineStr">
        <is>
          <t>SHOULD-HAVE</t>
        </is>
      </c>
      <c r="L96" t="inlineStr">
        <is>
          <t>Supporting capability</t>
        </is>
      </c>
      <c r="M96" t="inlineStr">
        <is>
          <t>Supporting capability (not compared with competitors)</t>
        </is>
      </c>
      <c r="N96" t="inlineStr">
        <is>
          <t>Declared</t>
        </is>
      </c>
      <c r="O96" t="inlineStr">
        <is>
          <t>Own design</t>
        </is>
      </c>
      <c r="P96" t="inlineStr">
        <is>
          <t>Built and tested</t>
        </is>
      </c>
      <c r="Q96" t="inlineStr">
        <is>
          <t>Not compared</t>
        </is>
      </c>
      <c r="R96" t="inlineStr">
        <is>
          <t>No competitor claim</t>
        </is>
      </c>
      <c r="S96" t="inlineStr">
        <is>
          <t>Traced</t>
        </is>
      </c>
      <c r="U96" t="inlineStr">
        <is>
          <t>declared</t>
        </is>
      </c>
      <c r="V96" t="inlineStr">
        <is>
          <t>Class basis: Supporting capability (not compared with competitors) | Confidence: Declared (not observable) | Evidence status: Own design (no competitor claim) | Trace status: Traced to requirement</t>
        </is>
      </c>
    </row>
    <row r="97">
      <c r="A97" t="inlineStr">
        <is>
          <t>FD-094</t>
        </is>
      </c>
      <c r="B97" t="inlineStr">
        <is>
          <t>Feature</t>
        </is>
      </c>
      <c r="D97" t="inlineStr">
        <is>
          <t>Status changes only by listed steps</t>
        </is>
      </c>
      <c r="E97" t="inlineStr">
        <is>
          <t>Which status may follow which is stored in a table and enforced by the database, for applications, jobs, gig assignments, consultant requests and community posts.</t>
        </is>
      </c>
      <c r="F97" t="inlineStr">
        <is>
          <t>Platform and scale</t>
        </is>
      </c>
      <c r="G97" t="inlineStr">
        <is>
          <t>Platform operator</t>
        </is>
      </c>
      <c r="H97" t="inlineStr">
        <is>
          <t>Own insight</t>
        </is>
      </c>
      <c r="I97" t="inlineStr">
        <is>
          <t>Capability built in the modules; not shown to users by the studied products</t>
        </is>
      </c>
      <c r="J97" t="inlineStr">
        <is>
          <t>Not observable</t>
        </is>
      </c>
      <c r="K97" t="inlineStr">
        <is>
          <t>SHOULD-HAVE</t>
        </is>
      </c>
      <c r="L97" t="inlineStr">
        <is>
          <t>Supporting capability</t>
        </is>
      </c>
      <c r="M97" t="inlineStr">
        <is>
          <t>Supporting capability (not compared with competitors)</t>
        </is>
      </c>
      <c r="N97" t="inlineStr">
        <is>
          <t>Declared</t>
        </is>
      </c>
      <c r="O97" t="inlineStr">
        <is>
          <t>Own design</t>
        </is>
      </c>
      <c r="P97" t="inlineStr">
        <is>
          <t>Built and tested</t>
        </is>
      </c>
      <c r="Q97" t="inlineStr">
        <is>
          <t>Not compared</t>
        </is>
      </c>
      <c r="R97" t="inlineStr">
        <is>
          <t>No competitor claim</t>
        </is>
      </c>
      <c r="S97" t="inlineStr">
        <is>
          <t>Traced</t>
        </is>
      </c>
      <c r="U97" t="inlineStr">
        <is>
          <t>declared</t>
        </is>
      </c>
      <c r="V97" t="inlineStr">
        <is>
          <t>Class basis: Supporting capability (not compared with competitors) | Confidence: Declared (not observable) | Evidence status: Own design (no competitor claim) | Trace status: Traced to requirement</t>
        </is>
      </c>
    </row>
    <row r="98">
      <c r="A98" t="inlineStr">
        <is>
          <t>FD-095</t>
        </is>
      </c>
      <c r="B98" t="inlineStr">
        <is>
          <t>Feature</t>
        </is>
      </c>
      <c r="D98" t="inlineStr">
        <is>
          <t>Passwords, tokens and sessions kept as hashes</t>
        </is>
      </c>
      <c r="E98" t="inlineStr">
        <is>
          <t>Passwords are stored only as a slow hash apart from the account; tokens and session identifiers only as hashes; sessions are append-only and end by a new row.</t>
        </is>
      </c>
      <c r="F98" t="inlineStr">
        <is>
          <t>Privacy and security</t>
        </is>
      </c>
      <c r="G98" t="inlineStr">
        <is>
          <t>Platform administrator</t>
        </is>
      </c>
      <c r="H98" t="inlineStr">
        <is>
          <t>Own insight</t>
        </is>
      </c>
      <c r="I98" t="inlineStr">
        <is>
          <t>Capability built in the modules; not shown to users by the studied products</t>
        </is>
      </c>
      <c r="J98" t="inlineStr">
        <is>
          <t>Not observable</t>
        </is>
      </c>
      <c r="K98" t="inlineStr">
        <is>
          <t>MUST-HAVE</t>
        </is>
      </c>
      <c r="L98" t="inlineStr">
        <is>
          <t>Recorded rule</t>
        </is>
      </c>
      <c r="M98" t="inlineStr">
        <is>
          <t>Recorded rule: NFR-09 (least privilege) and decisions A2 and A3</t>
        </is>
      </c>
      <c r="N98" t="inlineStr">
        <is>
          <t>Declared</t>
        </is>
      </c>
      <c r="O98" t="inlineStr">
        <is>
          <t>Own design</t>
        </is>
      </c>
      <c r="P98" t="inlineStr">
        <is>
          <t>Built and tested</t>
        </is>
      </c>
      <c r="Q98" t="inlineStr">
        <is>
          <t>Not compared</t>
        </is>
      </c>
      <c r="R98" t="inlineStr">
        <is>
          <t>No competitor claim</t>
        </is>
      </c>
      <c r="S98" t="inlineStr">
        <is>
          <t>Traced</t>
        </is>
      </c>
      <c r="U98" t="inlineStr">
        <is>
          <t>declared</t>
        </is>
      </c>
      <c r="V98" t="inlineStr">
        <is>
          <t>Class basis: Recorded rule: NFR-09 (least privilege) and decisions A2 and A3 | Confidence: Declared (not observable) | Evidence status: Own design (no competitor claim) | Trace status: Traced to requirement</t>
        </is>
      </c>
    </row>
    <row r="99">
      <c r="A99" t="inlineStr">
        <is>
          <t>FD-096</t>
        </is>
      </c>
      <c r="B99" t="inlineStr">
        <is>
          <t>Feature</t>
        </is>
      </c>
      <c r="D99" t="inlineStr">
        <is>
          <t>One account model for every user</t>
        </is>
      </c>
      <c r="E99" t="inlineStr">
        <is>
          <t>Every person or system that signs in is an account with a type and a status: candidate, recruiter, consultant, gig worker, administrator, integration service.</t>
        </is>
      </c>
      <c r="F99" t="inlineStr">
        <is>
          <t>Organisation and admin</t>
        </is>
      </c>
      <c r="G99" t="inlineStr">
        <is>
          <t>Platform administrator</t>
        </is>
      </c>
      <c r="H99" t="inlineStr">
        <is>
          <t>Own insight</t>
        </is>
      </c>
      <c r="I99" t="inlineStr">
        <is>
          <t>Capability built in the modules; not shown to users by the studied products</t>
        </is>
      </c>
      <c r="J99" t="inlineStr">
        <is>
          <t>Not observable</t>
        </is>
      </c>
      <c r="K99" t="inlineStr">
        <is>
          <t>SHOULD-HAVE</t>
        </is>
      </c>
      <c r="L99" t="inlineStr">
        <is>
          <t>Supporting capability</t>
        </is>
      </c>
      <c r="M99" t="inlineStr">
        <is>
          <t>Supporting capability (not compared with competitors)</t>
        </is>
      </c>
      <c r="N99" t="inlineStr">
        <is>
          <t>Declared</t>
        </is>
      </c>
      <c r="O99" t="inlineStr">
        <is>
          <t>Own design</t>
        </is>
      </c>
      <c r="P99" t="inlineStr">
        <is>
          <t>Built and tested</t>
        </is>
      </c>
      <c r="Q99" t="inlineStr">
        <is>
          <t>Not compared</t>
        </is>
      </c>
      <c r="R99" t="inlineStr">
        <is>
          <t>No competitor claim</t>
        </is>
      </c>
      <c r="S99" t="inlineStr">
        <is>
          <t>Traced</t>
        </is>
      </c>
      <c r="U99" t="inlineStr">
        <is>
          <t>declared</t>
        </is>
      </c>
      <c r="V99" t="inlineStr">
        <is>
          <t>Class basis: Supporting capability (not compared with competitors) | Confidence: Declared (not observable) | Evidence status: Own design (no competitor claim) | Trace status: Traced to requirement</t>
        </is>
      </c>
    </row>
    <row r="100">
      <c r="A100" t="inlineStr">
        <is>
          <t>FD-097</t>
        </is>
      </c>
      <c r="B100" t="inlineStr">
        <is>
          <t>Feature</t>
        </is>
      </c>
      <c r="D100" t="inlineStr">
        <is>
          <t>Referral codes</t>
        </is>
      </c>
      <c r="E100" t="inlineStr">
        <is>
          <t>Each candidate has one referral code and can be referred by another candidate's code, never their own.</t>
        </is>
      </c>
      <c r="F100" t="inlineStr">
        <is>
          <t>Profile</t>
        </is>
      </c>
      <c r="G100" t="inlineStr">
        <is>
          <t>Candidate</t>
        </is>
      </c>
      <c r="H100" t="inlineStr">
        <is>
          <t>Functional requirement</t>
        </is>
      </c>
      <c r="I100" t="inlineStr">
        <is>
          <t>Functional requirement FR-P10</t>
        </is>
      </c>
      <c r="J100" t="inlineStr">
        <is>
          <t>General</t>
        </is>
      </c>
      <c r="K100" t="inlineStr">
        <is>
          <t>SHOULD-HAVE</t>
        </is>
      </c>
      <c r="L100" t="inlineStr">
        <is>
          <t>Competitor matrix rule</t>
        </is>
      </c>
      <c r="M100" t="inlineStr">
        <is>
          <t>0 of 3 studied leaders offer it; 3 not verified.</t>
        </is>
      </c>
      <c r="N100" t="inlineStr">
        <is>
          <t>Provisional</t>
        </is>
      </c>
      <c r="O100" t="inlineStr">
        <is>
          <t>Own design</t>
        </is>
      </c>
      <c r="P100" t="inlineStr">
        <is>
          <t>Built and tested</t>
        </is>
      </c>
      <c r="Q100" t="inlineStr">
        <is>
          <t>Not compared</t>
        </is>
      </c>
      <c r="R100" t="inlineStr">
        <is>
          <t>No competitor claim</t>
        </is>
      </c>
      <c r="S100" t="inlineStr">
        <is>
          <t>Traced</t>
        </is>
      </c>
      <c r="U100" t="inlineStr">
        <is>
          <t>OK</t>
        </is>
      </c>
      <c r="V100" t="inlineStr">
        <is>
          <t>Evidence status: Own design (no competitor claim) | Trace status: Traced to requirement</t>
        </is>
      </c>
    </row>
    <row r="101">
      <c r="A101" t="inlineStr">
        <is>
          <t>FD-098</t>
        </is>
      </c>
      <c r="B101" t="inlineStr">
        <is>
          <t>Feature</t>
        </is>
      </c>
      <c r="D101" t="inlineStr">
        <is>
          <t>Job published on channels for a window</t>
        </is>
      </c>
      <c r="E101" t="inlineStr">
        <is>
          <t>A job is published on channels for a window; two windows on the same channel cannot overlap.</t>
        </is>
      </c>
      <c r="F101" t="inlineStr">
        <is>
          <t>Jobs</t>
        </is>
      </c>
      <c r="G101" t="inlineStr">
        <is>
          <t>Hiring manager</t>
        </is>
      </c>
      <c r="H101" t="inlineStr">
        <is>
          <t>Functional requirement</t>
        </is>
      </c>
      <c r="I101" t="inlineStr">
        <is>
          <t>Functional requirement FR-J05</t>
        </is>
      </c>
      <c r="J101" t="inlineStr">
        <is>
          <t>General</t>
        </is>
      </c>
      <c r="K101" t="inlineStr">
        <is>
          <t>SHOULD-HAVE</t>
        </is>
      </c>
      <c r="L101" t="inlineStr">
        <is>
          <t>Competitor matrix rule</t>
        </is>
      </c>
      <c r="M101" t="inlineStr">
        <is>
          <t>0 of 3 studied leaders offer it; 3 not verified.</t>
        </is>
      </c>
      <c r="N101" t="inlineStr">
        <is>
          <t>Provisional</t>
        </is>
      </c>
      <c r="O101" t="inlineStr">
        <is>
          <t>Own design</t>
        </is>
      </c>
      <c r="P101" t="inlineStr">
        <is>
          <t>Built and tested</t>
        </is>
      </c>
      <c r="Q101" t="inlineStr">
        <is>
          <t>Not compared</t>
        </is>
      </c>
      <c r="R101" t="inlineStr">
        <is>
          <t>No competitor claim</t>
        </is>
      </c>
      <c r="S101" t="inlineStr">
        <is>
          <t>Traced</t>
        </is>
      </c>
      <c r="U101" t="inlineStr">
        <is>
          <t>OK</t>
        </is>
      </c>
      <c r="V101" t="inlineStr">
        <is>
          <t>Evidence status: Own design (no competitor claim) | Trace status: Traced to requirement</t>
        </is>
      </c>
    </row>
    <row r="102">
      <c r="A102" t="inlineStr">
        <is>
          <t>FD-099</t>
        </is>
      </c>
      <c r="B102" t="inlineStr">
        <is>
          <t>Feature</t>
        </is>
      </c>
      <c r="D102" t="inlineStr">
        <is>
          <t>Agency posts for a client</t>
        </is>
      </c>
      <c r="E102" t="inlineStr">
        <is>
          <t>A staffing agency posts for a client only through an active link, and the recruiter must belong to the agency.</t>
        </is>
      </c>
      <c r="F102" t="inlineStr">
        <is>
          <t>Jobs</t>
        </is>
      </c>
      <c r="G102" t="inlineStr">
        <is>
          <t>Recruiter</t>
        </is>
      </c>
      <c r="H102" t="inlineStr">
        <is>
          <t>Functional requirement</t>
        </is>
      </c>
      <c r="I102" t="inlineStr">
        <is>
          <t>Functional requirement FR-O06</t>
        </is>
      </c>
      <c r="J102" t="inlineStr">
        <is>
          <t>General</t>
        </is>
      </c>
      <c r="K102" t="inlineStr">
        <is>
          <t>SHOULD-HAVE</t>
        </is>
      </c>
      <c r="L102" t="inlineStr">
        <is>
          <t>Competitor matrix rule</t>
        </is>
      </c>
      <c r="M102" t="inlineStr">
        <is>
          <t>0 of 3 studied leaders offer it; 3 not verified.</t>
        </is>
      </c>
      <c r="N102" t="inlineStr">
        <is>
          <t>Provisional</t>
        </is>
      </c>
      <c r="O102" t="inlineStr">
        <is>
          <t>Own design</t>
        </is>
      </c>
      <c r="P102" t="inlineStr">
        <is>
          <t>Built</t>
        </is>
      </c>
      <c r="Q102" t="inlineStr">
        <is>
          <t>Not compared</t>
        </is>
      </c>
      <c r="R102" t="inlineStr">
        <is>
          <t>No competitor claim</t>
        </is>
      </c>
      <c r="S102" t="inlineStr">
        <is>
          <t>Traced</t>
        </is>
      </c>
      <c r="U102" t="inlineStr">
        <is>
          <t>OK</t>
        </is>
      </c>
      <c r="V102" t="inlineStr">
        <is>
          <t>Evidence status: Own design (no competitor claim) | Trace status: Traced to requirement</t>
        </is>
      </c>
    </row>
    <row r="103">
      <c r="A103" t="inlineStr">
        <is>
          <t>FD-100</t>
        </is>
      </c>
      <c r="B103" t="inlineStr">
        <is>
          <t>Feature</t>
        </is>
      </c>
      <c r="D103" t="inlineStr">
        <is>
          <t>Sensitivity class on every column</t>
        </is>
      </c>
      <c r="E103" t="inlineStr">
        <is>
          <t>Every column carries a class (Public, Internal, Personal, Sensitive), and the reporting role can read no column of class Personal or Sensitive.</t>
        </is>
      </c>
      <c r="F103" t="inlineStr">
        <is>
          <t>Privacy and security</t>
        </is>
      </c>
      <c r="G103" t="inlineStr">
        <is>
          <t>Compliance and privacy officer</t>
        </is>
      </c>
      <c r="H103" t="inlineStr">
        <is>
          <t>Own insight</t>
        </is>
      </c>
      <c r="I103" t="inlineStr">
        <is>
          <t>Capability built in the modules; not shown to users by the studied products</t>
        </is>
      </c>
      <c r="J103" t="inlineStr">
        <is>
          <t>Not observable</t>
        </is>
      </c>
      <c r="K103" t="inlineStr">
        <is>
          <t>MUST-HAVE</t>
        </is>
      </c>
      <c r="L103" t="inlineStr">
        <is>
          <t>Recorded rule</t>
        </is>
      </c>
      <c r="M103" t="inlineStr">
        <is>
          <t>Recorded requirement: NFR-11</t>
        </is>
      </c>
      <c r="N103" t="inlineStr">
        <is>
          <t>Declared</t>
        </is>
      </c>
      <c r="O103" t="inlineStr">
        <is>
          <t>Own design</t>
        </is>
      </c>
      <c r="P103" t="inlineStr">
        <is>
          <t>Built</t>
        </is>
      </c>
      <c r="Q103" t="inlineStr">
        <is>
          <t>Not compared</t>
        </is>
      </c>
      <c r="R103" t="inlineStr">
        <is>
          <t>No competitor claim</t>
        </is>
      </c>
      <c r="S103" t="inlineStr">
        <is>
          <t>Traced</t>
        </is>
      </c>
      <c r="U103" t="inlineStr">
        <is>
          <t>declared</t>
        </is>
      </c>
      <c r="V103" t="inlineStr">
        <is>
          <t>Class basis: Recorded requirement: NFR-11 | Confidence: Declared (not observable) | Evidence status: Own design (no competitor claim) | Trace status: Traced to requirement</t>
        </is>
      </c>
    </row>
    <row r="104">
      <c r="A104" t="inlineStr">
        <is>
          <t>FD-101</t>
        </is>
      </c>
      <c r="B104" t="inlineStr">
        <is>
          <t>Feature</t>
        </is>
      </c>
      <c r="D104" t="inlineStr">
        <is>
          <t>Business data is never silently deleted</t>
        </is>
      </c>
      <c r="E104" t="inlineStr">
        <is>
          <t>Every foreign key has an explicit delete rule, restrict by default, so a parent cannot disappear under its children.</t>
        </is>
      </c>
      <c r="F104" t="inlineStr">
        <is>
          <t>Platform and scale</t>
        </is>
      </c>
      <c r="G104" t="inlineStr">
        <is>
          <t>Platform operator</t>
        </is>
      </c>
      <c r="H104" t="inlineStr">
        <is>
          <t>Own insight</t>
        </is>
      </c>
      <c r="I104" t="inlineStr">
        <is>
          <t>Capability built in the modules; not shown to users by the studied products</t>
        </is>
      </c>
      <c r="J104" t="inlineStr">
        <is>
          <t>Not observable</t>
        </is>
      </c>
      <c r="K104" t="inlineStr">
        <is>
          <t>MUST-HAVE</t>
        </is>
      </c>
      <c r="L104" t="inlineStr">
        <is>
          <t>Recorded rule</t>
        </is>
      </c>
      <c r="M104" t="inlineStr">
        <is>
          <t>Recorded requirement: NFR-06 and rule group 2 of docs/rule-compliance.md</t>
        </is>
      </c>
      <c r="N104" t="inlineStr">
        <is>
          <t>Declared</t>
        </is>
      </c>
      <c r="O104" t="inlineStr">
        <is>
          <t>Own design</t>
        </is>
      </c>
      <c r="P104" t="inlineStr">
        <is>
          <t>Built</t>
        </is>
      </c>
      <c r="Q104" t="inlineStr">
        <is>
          <t>Not compared</t>
        </is>
      </c>
      <c r="R104" t="inlineStr">
        <is>
          <t>No competitor claim</t>
        </is>
      </c>
      <c r="S104" t="inlineStr">
        <is>
          <t>Traced</t>
        </is>
      </c>
      <c r="U104" t="inlineStr">
        <is>
          <t>declared</t>
        </is>
      </c>
      <c r="V104" t="inlineStr">
        <is>
          <t>Class basis: Recorded requirement: NFR-06 and rule group 2 of docs/rule-compliance.md | Confidence: Declared (not observable) | Evidence status: Own design (no competitor claim) | Trace status: Traced to requirement</t>
        </is>
      </c>
    </row>
    <row r="105">
      <c r="A105" t="inlineStr">
        <is>
          <t>FD-102</t>
        </is>
      </c>
      <c r="B105" t="inlineStr">
        <is>
          <t>Feature</t>
        </is>
      </c>
      <c r="D105" t="inlineStr">
        <is>
          <t>An index for every business foreign key</t>
        </is>
      </c>
      <c r="E105" t="inlineStr">
        <is>
          <t>Every foreign key to a business table has an index, with a partial index on keys that are mostly empty.</t>
        </is>
      </c>
      <c r="F105" t="inlineStr">
        <is>
          <t>Platform and scale</t>
        </is>
      </c>
      <c r="G105" t="inlineStr">
        <is>
          <t>Platform operator</t>
        </is>
      </c>
      <c r="H105" t="inlineStr">
        <is>
          <t>Own insight</t>
        </is>
      </c>
      <c r="I105" t="inlineStr">
        <is>
          <t>Capability built in the modules; not shown to users by the studied products</t>
        </is>
      </c>
      <c r="J105" t="inlineStr">
        <is>
          <t>Not observable</t>
        </is>
      </c>
      <c r="K105" t="inlineStr">
        <is>
          <t>SHOULD-HAVE</t>
        </is>
      </c>
      <c r="L105" t="inlineStr">
        <is>
          <t>Supporting capability</t>
        </is>
      </c>
      <c r="M105" t="inlineStr">
        <is>
          <t>Supporting capability: NFR-04</t>
        </is>
      </c>
      <c r="N105" t="inlineStr">
        <is>
          <t>Declared</t>
        </is>
      </c>
      <c r="O105" t="inlineStr">
        <is>
          <t>Own design</t>
        </is>
      </c>
      <c r="P105" t="inlineStr">
        <is>
          <t>Built and tested</t>
        </is>
      </c>
      <c r="Q105" t="inlineStr">
        <is>
          <t>Not compared</t>
        </is>
      </c>
      <c r="R105" t="inlineStr">
        <is>
          <t>No competitor claim</t>
        </is>
      </c>
      <c r="S105" t="inlineStr">
        <is>
          <t>Traced</t>
        </is>
      </c>
      <c r="U105" t="inlineStr">
        <is>
          <t>declared</t>
        </is>
      </c>
      <c r="V105" t="inlineStr">
        <is>
          <t>Class basis: Supporting capability: NFR-04 | Confidence: Declared (not observable) | Evidence status: Own design (no competitor claim) | Trace status: Traced to requirement</t>
        </is>
      </c>
    </row>
    <row r="106">
      <c r="A106" t="inlineStr">
        <is>
          <t>FD-103</t>
        </is>
      </c>
      <c r="B106" t="inlineStr">
        <is>
          <t>Feature</t>
        </is>
      </c>
      <c r="D106" t="inlineStr">
        <is>
          <t>Query timing is observable</t>
        </is>
      </c>
      <c r="E106" t="inlineStr">
        <is>
          <t>Statement timing is recorded by the database so slow queries can be found.</t>
        </is>
      </c>
      <c r="F106" t="inlineStr">
        <is>
          <t>Platform and scale</t>
        </is>
      </c>
      <c r="G106" t="inlineStr">
        <is>
          <t>Platform operator</t>
        </is>
      </c>
      <c r="H106" t="inlineStr">
        <is>
          <t>Own insight</t>
        </is>
      </c>
      <c r="I106" t="inlineStr">
        <is>
          <t>Capability built in the modules; not shown to users by the studied products</t>
        </is>
      </c>
      <c r="J106" t="inlineStr">
        <is>
          <t>Not observable</t>
        </is>
      </c>
      <c r="K106" t="inlineStr">
        <is>
          <t>SHOULD-HAVE</t>
        </is>
      </c>
      <c r="L106" t="inlineStr">
        <is>
          <t>Supporting capability</t>
        </is>
      </c>
      <c r="M106" t="inlineStr">
        <is>
          <t>Supporting capability: NFR-08</t>
        </is>
      </c>
      <c r="N106" t="inlineStr">
        <is>
          <t>Declared</t>
        </is>
      </c>
      <c r="O106" t="inlineStr">
        <is>
          <t>Own design</t>
        </is>
      </c>
      <c r="P106" t="inlineStr">
        <is>
          <t>Built</t>
        </is>
      </c>
      <c r="Q106" t="inlineStr">
        <is>
          <t>Not compared</t>
        </is>
      </c>
      <c r="R106" t="inlineStr">
        <is>
          <t>No competitor claim</t>
        </is>
      </c>
      <c r="S106" t="inlineStr">
        <is>
          <t>Traced</t>
        </is>
      </c>
      <c r="U106" t="inlineStr">
        <is>
          <t>declared</t>
        </is>
      </c>
      <c r="V106" t="inlineStr">
        <is>
          <t>Class basis: Supporting capability: NFR-08 | Confidence: Declared (not observable) | Evidence status: Own design (no competitor claim) | Trace status: Traced to requirement</t>
        </is>
      </c>
    </row>
    <row r="107">
      <c r="A107" t="inlineStr">
        <is>
          <t>FD-104</t>
        </is>
      </c>
      <c r="B107" t="inlineStr">
        <is>
          <t>Feature</t>
        </is>
      </c>
      <c r="D107" t="inlineStr">
        <is>
          <t>Secrets and the database port stay private</t>
        </is>
      </c>
      <c r="E107" t="inlineStr">
        <is>
          <t>No password, key or brief is kept in the repository, and the database port is never public.</t>
        </is>
      </c>
      <c r="F107" t="inlineStr">
        <is>
          <t>Privacy and security</t>
        </is>
      </c>
      <c r="G107" t="inlineStr">
        <is>
          <t>Platform operator</t>
        </is>
      </c>
      <c r="H107" t="inlineStr">
        <is>
          <t>Own insight</t>
        </is>
      </c>
      <c r="I107" t="inlineStr">
        <is>
          <t>Capability built in the modules; not shown to users by the studied products</t>
        </is>
      </c>
      <c r="J107" t="inlineStr">
        <is>
          <t>Not observable</t>
        </is>
      </c>
      <c r="K107" t="inlineStr">
        <is>
          <t>MUST-HAVE</t>
        </is>
      </c>
      <c r="L107" t="inlineStr">
        <is>
          <t>Recorded rule</t>
        </is>
      </c>
      <c r="M107" t="inlineStr">
        <is>
          <t>Recorded requirement: NFR-10</t>
        </is>
      </c>
      <c r="N107" t="inlineStr">
        <is>
          <t>Declared</t>
        </is>
      </c>
      <c r="O107" t="inlineStr">
        <is>
          <t>Own design</t>
        </is>
      </c>
      <c r="P107" t="inlineStr">
        <is>
          <t>Built</t>
        </is>
      </c>
      <c r="Q107" t="inlineStr">
        <is>
          <t>Not compared</t>
        </is>
      </c>
      <c r="R107" t="inlineStr">
        <is>
          <t>No competitor claim</t>
        </is>
      </c>
      <c r="S107" t="inlineStr">
        <is>
          <t>Traced</t>
        </is>
      </c>
      <c r="U107" t="inlineStr">
        <is>
          <t>declared</t>
        </is>
      </c>
      <c r="V107" t="inlineStr">
        <is>
          <t>Class basis: Recorded requirement: NFR-10 | Confidence: Declared (not observable) | Evidence status: Own design (no competitor claim) | Trace status: Traced to requirement</t>
        </is>
      </c>
    </row>
    <row r="108">
      <c r="A108" t="inlineStr">
        <is>
          <t>FD-105</t>
        </is>
      </c>
      <c r="B108" t="inlineStr">
        <is>
          <t>Feature</t>
        </is>
      </c>
      <c r="D108" t="inlineStr">
        <is>
          <t>All times in UTC and text in any script</t>
        </is>
      </c>
      <c r="E108" t="inlineStr">
        <is>
          <t>Every timestamp is stored in UTC and every text column holds any script.</t>
        </is>
      </c>
      <c r="F108" t="inlineStr">
        <is>
          <t>Platform and scale</t>
        </is>
      </c>
      <c r="G108" t="inlineStr">
        <is>
          <t>Platform operator</t>
        </is>
      </c>
      <c r="H108" t="inlineStr">
        <is>
          <t>Own insight</t>
        </is>
      </c>
      <c r="I108" t="inlineStr">
        <is>
          <t>Capability built in the modules; not shown to users by the studied products</t>
        </is>
      </c>
      <c r="J108" t="inlineStr">
        <is>
          <t>Not observable</t>
        </is>
      </c>
      <c r="K108" t="inlineStr">
        <is>
          <t>SHOULD-HAVE</t>
        </is>
      </c>
      <c r="L108" t="inlineStr">
        <is>
          <t>Supporting capability</t>
        </is>
      </c>
      <c r="M108" t="inlineStr">
        <is>
          <t>Supporting capability: NFR-16</t>
        </is>
      </c>
      <c r="N108" t="inlineStr">
        <is>
          <t>Declared</t>
        </is>
      </c>
      <c r="O108" t="inlineStr">
        <is>
          <t>Own design</t>
        </is>
      </c>
      <c r="P108" t="inlineStr">
        <is>
          <t>Built</t>
        </is>
      </c>
      <c r="Q108" t="inlineStr">
        <is>
          <t>Not compared</t>
        </is>
      </c>
      <c r="R108" t="inlineStr">
        <is>
          <t>No competitor claim</t>
        </is>
      </c>
      <c r="S108" t="inlineStr">
        <is>
          <t>Traced</t>
        </is>
      </c>
      <c r="U108" t="inlineStr">
        <is>
          <t>declared</t>
        </is>
      </c>
      <c r="V108" t="inlineStr">
        <is>
          <t>Class basis: Supporting capability: NFR-16 | Confidence: Declared (not observable) | Evidence status: Own design (no competitor claim) | Trace status: Traced to requirement</t>
        </is>
      </c>
    </row>
    <row r="109">
      <c r="A109" t="inlineStr">
        <is>
          <t>FD-106</t>
        </is>
      </c>
      <c r="B109" t="inlineStr">
        <is>
          <t>Feature</t>
        </is>
      </c>
      <c r="D109" t="inlineStr">
        <is>
          <t>Runs the same on macOS, Windows and Linux</t>
        </is>
      </c>
      <c r="E109" t="inlineStr">
        <is>
          <t>One Docker compose file runs the same database on every machine of the team.</t>
        </is>
      </c>
      <c r="F109" t="inlineStr">
        <is>
          <t>Platform and scale</t>
        </is>
      </c>
      <c r="G109" t="inlineStr">
        <is>
          <t>Platform operator</t>
        </is>
      </c>
      <c r="H109" t="inlineStr">
        <is>
          <t>Own insight</t>
        </is>
      </c>
      <c r="I109" t="inlineStr">
        <is>
          <t>Capability built in the modules; not shown to users by the studied products</t>
        </is>
      </c>
      <c r="J109" t="inlineStr">
        <is>
          <t>Not observable</t>
        </is>
      </c>
      <c r="K109" t="inlineStr">
        <is>
          <t>SHOULD-HAVE</t>
        </is>
      </c>
      <c r="L109" t="inlineStr">
        <is>
          <t>Supporting capability</t>
        </is>
      </c>
      <c r="M109" t="inlineStr">
        <is>
          <t>Supporting capability: NFR-13</t>
        </is>
      </c>
      <c r="N109" t="inlineStr">
        <is>
          <t>Declared</t>
        </is>
      </c>
      <c r="O109" t="inlineStr">
        <is>
          <t>Own design</t>
        </is>
      </c>
      <c r="P109" t="inlineStr">
        <is>
          <t>Built and tested</t>
        </is>
      </c>
      <c r="Q109" t="inlineStr">
        <is>
          <t>Not compared</t>
        </is>
      </c>
      <c r="R109" t="inlineStr">
        <is>
          <t>No competitor claim</t>
        </is>
      </c>
      <c r="S109" t="inlineStr">
        <is>
          <t>Traced</t>
        </is>
      </c>
      <c r="U109" t="inlineStr">
        <is>
          <t>declared</t>
        </is>
      </c>
      <c r="V109" t="inlineStr">
        <is>
          <t>Class basis: Supporting capability: NFR-13 | Confidence: Declared (not observable) | Evidence status: Own design (no competitor claim) | Trace status: Traced to requirement</t>
        </is>
      </c>
    </row>
    <row r="110">
      <c r="A110" t="inlineStr">
        <is>
          <t>FD-107</t>
        </is>
      </c>
      <c r="B110" t="inlineStr">
        <is>
          <t>Feature</t>
        </is>
      </c>
      <c r="D110" t="inlineStr">
        <is>
          <t>One diagram file is the source of the model</t>
        </is>
      </c>
      <c r="E110" t="inlineStr">
        <is>
          <t>The SQL is generated from one diagram file and never edited by hand, so the diagram and the database cannot drift.</t>
        </is>
      </c>
      <c r="F110" t="inlineStr">
        <is>
          <t>Platform and scale</t>
        </is>
      </c>
      <c r="G110" t="inlineStr">
        <is>
          <t>Platform operator</t>
        </is>
      </c>
      <c r="H110" t="inlineStr">
        <is>
          <t>Own insight</t>
        </is>
      </c>
      <c r="I110" t="inlineStr">
        <is>
          <t>Capability built in the modules; not shown to users by the studied products</t>
        </is>
      </c>
      <c r="J110" t="inlineStr">
        <is>
          <t>Not observable</t>
        </is>
      </c>
      <c r="K110" t="inlineStr">
        <is>
          <t>SHOULD-HAVE</t>
        </is>
      </c>
      <c r="L110" t="inlineStr">
        <is>
          <t>Supporting capability</t>
        </is>
      </c>
      <c r="M110" t="inlineStr">
        <is>
          <t>Supporting capability: NFR-14</t>
        </is>
      </c>
      <c r="N110" t="inlineStr">
        <is>
          <t>Declared</t>
        </is>
      </c>
      <c r="O110" t="inlineStr">
        <is>
          <t>Own design</t>
        </is>
      </c>
      <c r="P110" t="inlineStr">
        <is>
          <t>Built</t>
        </is>
      </c>
      <c r="Q110" t="inlineStr">
        <is>
          <t>Not compared</t>
        </is>
      </c>
      <c r="R110" t="inlineStr">
        <is>
          <t>No competitor claim</t>
        </is>
      </c>
      <c r="S110" t="inlineStr">
        <is>
          <t>Traced</t>
        </is>
      </c>
      <c r="U110" t="inlineStr">
        <is>
          <t>declared</t>
        </is>
      </c>
      <c r="V110" t="inlineStr">
        <is>
          <t>Class basis: Supporting capability: NFR-14 | Confidence: Declared (not observable) | Evidence status: Own design (no competitor claim) | Trace status: Traced to requirement</t>
        </is>
      </c>
    </row>
    <row r="111">
      <c r="A111" t="inlineStr">
        <is>
          <t>FD-108</t>
        </is>
      </c>
      <c r="B111" t="inlineStr">
        <is>
          <t>Feature</t>
        </is>
      </c>
      <c r="D111" t="inlineStr">
        <is>
          <t>Rebuild and demo data in minutes</t>
        </is>
      </c>
      <c r="E111" t="inlineStr">
        <is>
          <t>Anyone can rebuild the empty database and load repeatable demo data in minutes.</t>
        </is>
      </c>
      <c r="F111" t="inlineStr">
        <is>
          <t>Platform and scale</t>
        </is>
      </c>
      <c r="G111" t="inlineStr">
        <is>
          <t>Platform operator</t>
        </is>
      </c>
      <c r="H111" t="inlineStr">
        <is>
          <t>Own insight</t>
        </is>
      </c>
      <c r="I111" t="inlineStr">
        <is>
          <t>Capability built in the modules; not shown to users by the studied products</t>
        </is>
      </c>
      <c r="J111" t="inlineStr">
        <is>
          <t>Not observable</t>
        </is>
      </c>
      <c r="K111" t="inlineStr">
        <is>
          <t>SHOULD-HAVE</t>
        </is>
      </c>
      <c r="L111" t="inlineStr">
        <is>
          <t>Supporting capability</t>
        </is>
      </c>
      <c r="M111" t="inlineStr">
        <is>
          <t>Supporting capability: NFR-17</t>
        </is>
      </c>
      <c r="N111" t="inlineStr">
        <is>
          <t>Declared</t>
        </is>
      </c>
      <c r="O111" t="inlineStr">
        <is>
          <t>Own design</t>
        </is>
      </c>
      <c r="P111" t="inlineStr">
        <is>
          <t>Built and tested</t>
        </is>
      </c>
      <c r="Q111" t="inlineStr">
        <is>
          <t>Not compared</t>
        </is>
      </c>
      <c r="R111" t="inlineStr">
        <is>
          <t>No competitor claim</t>
        </is>
      </c>
      <c r="S111" t="inlineStr">
        <is>
          <t>Traced</t>
        </is>
      </c>
      <c r="U111" t="inlineStr">
        <is>
          <t>declared</t>
        </is>
      </c>
      <c r="V111" t="inlineStr">
        <is>
          <t>Class basis: Supporting capability: NFR-17 | Confidence: Declared (not observable) | Evidence status: Own design (no competitor claim) | Trace status: Traced to requirement</t>
        </is>
      </c>
    </row>
    <row r="112">
      <c r="A112" t="inlineStr">
        <is>
          <t>FD-109</t>
        </is>
      </c>
      <c r="B112" t="inlineStr">
        <is>
          <t>Feature</t>
        </is>
      </c>
      <c r="D112" t="inlineStr">
        <is>
          <t>A test suite that tries to break every rule</t>
        </is>
      </c>
      <c r="E112" t="inlineStr">
        <is>
          <t>A test suite tries to break every important rule and runs against a scratch database before every merge.</t>
        </is>
      </c>
      <c r="F112" t="inlineStr">
        <is>
          <t>Platform and scale</t>
        </is>
      </c>
      <c r="G112" t="inlineStr">
        <is>
          <t>Platform operator</t>
        </is>
      </c>
      <c r="H112" t="inlineStr">
        <is>
          <t>Own insight</t>
        </is>
      </c>
      <c r="I112" t="inlineStr">
        <is>
          <t>Capability built in the modules; not shown to users by the studied products</t>
        </is>
      </c>
      <c r="J112" t="inlineStr">
        <is>
          <t>Not observable</t>
        </is>
      </c>
      <c r="K112" t="inlineStr">
        <is>
          <t>MUST-HAVE</t>
        </is>
      </c>
      <c r="L112" t="inlineStr">
        <is>
          <t>Recorded rule</t>
        </is>
      </c>
      <c r="M112" t="inlineStr">
        <is>
          <t>Recorded requirement: NFR-18</t>
        </is>
      </c>
      <c r="N112" t="inlineStr">
        <is>
          <t>Declared</t>
        </is>
      </c>
      <c r="O112" t="inlineStr">
        <is>
          <t>Own design</t>
        </is>
      </c>
      <c r="P112" t="inlineStr">
        <is>
          <t>Built and tested</t>
        </is>
      </c>
      <c r="Q112" t="inlineStr">
        <is>
          <t>Not compared</t>
        </is>
      </c>
      <c r="R112" t="inlineStr">
        <is>
          <t>No competitor claim</t>
        </is>
      </c>
      <c r="S112" t="inlineStr">
        <is>
          <t>Traced</t>
        </is>
      </c>
      <c r="U112" t="inlineStr">
        <is>
          <t>declared</t>
        </is>
      </c>
      <c r="V112" t="inlineStr">
        <is>
          <t>Class basis: Recorded requirement: NFR-18 | Confidence: Declared (not observable) | Evidence status: Own design (no competitor claim) | Trace status: Traced to requirement</t>
        </is>
      </c>
    </row>
    <row r="113">
      <c r="A113" t="inlineStr">
        <is>
          <t>FD-110</t>
        </is>
      </c>
      <c r="B113" t="inlineStr">
        <is>
          <t>Feature</t>
        </is>
      </c>
      <c r="D113" t="inlineStr">
        <is>
          <t>Backup, restore test and recovery target</t>
        </is>
      </c>
      <c r="E113" t="inlineStr">
        <is>
          <t>A backup of the seeded database, a restore test and a recovery time target.</t>
        </is>
      </c>
      <c r="F113" t="inlineStr">
        <is>
          <t>Platform and scale</t>
        </is>
      </c>
      <c r="G113" t="inlineStr">
        <is>
          <t>Platform operator</t>
        </is>
      </c>
      <c r="H113" t="inlineStr">
        <is>
          <t>Own insight</t>
        </is>
      </c>
      <c r="I113" t="inlineStr">
        <is>
          <t>Capability built in the modules; not shown to users by the studied products</t>
        </is>
      </c>
      <c r="J113" t="inlineStr">
        <is>
          <t>Not observable</t>
        </is>
      </c>
      <c r="K113" t="inlineStr">
        <is>
          <t>MUST-HAVE</t>
        </is>
      </c>
      <c r="L113" t="inlineStr">
        <is>
          <t>Recorded rule</t>
        </is>
      </c>
      <c r="M113" t="inlineStr">
        <is>
          <t>Recorded requirement: NFR-19 (planned for Phase 5)</t>
        </is>
      </c>
      <c r="N113" t="inlineStr">
        <is>
          <t>Declared</t>
        </is>
      </c>
      <c r="O113" t="inlineStr">
        <is>
          <t>Own design</t>
        </is>
      </c>
      <c r="P113" t="inlineStr">
        <is>
          <t>Planned</t>
        </is>
      </c>
      <c r="Q113" t="inlineStr">
        <is>
          <t>Not compared</t>
        </is>
      </c>
      <c r="R113" t="inlineStr">
        <is>
          <t>No competitor claim</t>
        </is>
      </c>
      <c r="S113" t="inlineStr">
        <is>
          <t>Traced</t>
        </is>
      </c>
      <c r="U113" t="inlineStr">
        <is>
          <t>declared</t>
        </is>
      </c>
      <c r="V113" t="inlineStr">
        <is>
          <t>Class basis: Recorded requirement: NFR-19 (planned for Phase 5) | Confidence: Declared (not observable) | Evidence status: Own design (no competitor claim) | Trace status: Traced to requirement</t>
        </is>
      </c>
    </row>
    <row r="114">
      <c r="A114" t="inlineStr">
        <is>
          <t>FD-111</t>
        </is>
      </c>
      <c r="B114" t="inlineStr">
        <is>
          <t>Feature</t>
        </is>
      </c>
      <c r="D114" t="inlineStr">
        <is>
          <t>Naming standards</t>
        </is>
      </c>
      <c r="E114" t="inlineStr">
        <is>
          <t>snake_case names, singular table names, id keys, no reserved words, scanned by the catalogue.</t>
        </is>
      </c>
      <c r="F114" t="inlineStr">
        <is>
          <t>Platform and scale</t>
        </is>
      </c>
      <c r="G114" t="inlineStr">
        <is>
          <t>Platform operator</t>
        </is>
      </c>
      <c r="H114" t="inlineStr">
        <is>
          <t>Own insight</t>
        </is>
      </c>
      <c r="I114" t="inlineStr">
        <is>
          <t>Capability built in the modules; not shown to users by the studied products</t>
        </is>
      </c>
      <c r="J114" t="inlineStr">
        <is>
          <t>Not observable</t>
        </is>
      </c>
      <c r="K114" t="inlineStr">
        <is>
          <t>SHOULD-HAVE</t>
        </is>
      </c>
      <c r="L114" t="inlineStr">
        <is>
          <t>Supporting capability</t>
        </is>
      </c>
      <c r="M114" t="inlineStr">
        <is>
          <t>Supporting capability: NFR-15 and rule group 1 of docs/rule-compliance.md</t>
        </is>
      </c>
      <c r="N114" t="inlineStr">
        <is>
          <t>Declared</t>
        </is>
      </c>
      <c r="O114" t="inlineStr">
        <is>
          <t>Own design</t>
        </is>
      </c>
      <c r="P114" t="inlineStr">
        <is>
          <t>Built</t>
        </is>
      </c>
      <c r="Q114" t="inlineStr">
        <is>
          <t>Not compared</t>
        </is>
      </c>
      <c r="R114" t="inlineStr">
        <is>
          <t>No competitor claim</t>
        </is>
      </c>
      <c r="S114" t="inlineStr">
        <is>
          <t>Traced</t>
        </is>
      </c>
      <c r="U114" t="inlineStr">
        <is>
          <t>declared</t>
        </is>
      </c>
      <c r="V114" t="inlineStr">
        <is>
          <t>Class basis: Supporting capability: NFR-15 and rule group 1 of docs/rule-compliance.md | Confidence: Declared (not observable) | Evidence status: Own design (no competitor claim) | Trace status: Traced to requirement</t>
        </is>
      </c>
    </row>
    <row r="115">
      <c r="A115" t="inlineStr">
        <is>
          <t>FD-112</t>
        </is>
      </c>
      <c r="B115" t="inlineStr">
        <is>
          <t>Feature</t>
        </is>
      </c>
      <c r="D115" t="inlineStr">
        <is>
          <t>Job shares are counted</t>
        </is>
      </c>
      <c r="E115" t="inlineStr">
        <is>
          <t>A share of a job on a social network is stored as an append-only event, so the share count is known.</t>
        </is>
      </c>
      <c r="F115" t="inlineStr">
        <is>
          <t>Jobs</t>
        </is>
      </c>
      <c r="G115" t="inlineStr">
        <is>
          <t>Recruiter</t>
        </is>
      </c>
      <c r="H115" t="inlineStr">
        <is>
          <t>Own insight</t>
        </is>
      </c>
      <c r="I115" t="inlineStr">
        <is>
          <t>Capability built in the modules; not shown to users by the studied products</t>
        </is>
      </c>
      <c r="J115" t="inlineStr">
        <is>
          <t>Not observable</t>
        </is>
      </c>
      <c r="K115" t="inlineStr">
        <is>
          <t>MUST-HAVE</t>
        </is>
      </c>
      <c r="L115" t="inlineStr">
        <is>
          <t>Brief demands</t>
        </is>
      </c>
      <c r="M115" t="inlineStr">
        <is>
          <t>Brief demands: the share count (docs/integration-boundaries.md)</t>
        </is>
      </c>
      <c r="N115" t="inlineStr">
        <is>
          <t>Declared</t>
        </is>
      </c>
      <c r="O115" t="inlineStr">
        <is>
          <t>Own design</t>
        </is>
      </c>
      <c r="P115" t="inlineStr">
        <is>
          <t>Built and tested</t>
        </is>
      </c>
      <c r="Q115" t="inlineStr">
        <is>
          <t>Not compared</t>
        </is>
      </c>
      <c r="R115" t="inlineStr">
        <is>
          <t>No competitor claim</t>
        </is>
      </c>
      <c r="S115" t="inlineStr">
        <is>
          <t>Traced</t>
        </is>
      </c>
      <c r="U115" t="inlineStr">
        <is>
          <t>declared</t>
        </is>
      </c>
      <c r="V115" t="inlineStr">
        <is>
          <t>Class basis: Brief demands: the share count (docs/integration-boundaries.md) | Confidence: Declared (not observable) | Evidence status: Own design (no competitor claim) | Trace status: Traced to requirement</t>
        </is>
      </c>
    </row>
    <row r="116">
      <c r="A116" t="inlineStr">
        <is>
          <t>FD-113</t>
        </is>
      </c>
      <c r="B116" t="inlineStr">
        <is>
          <t>Feature</t>
        </is>
      </c>
      <c r="D116" t="inlineStr">
        <is>
          <t>Organisation hierarchy</t>
        </is>
      </c>
      <c r="E116" t="inlineStr">
        <is>
          <t>An organisation can have a parent; a trigger refuses a loop and a function scans for loops.</t>
        </is>
      </c>
      <c r="F116" t="inlineStr">
        <is>
          <t>Organisation and admin</t>
        </is>
      </c>
      <c r="G116" t="inlineStr">
        <is>
          <t>Organisation administrator</t>
        </is>
      </c>
      <c r="H116" t="inlineStr">
        <is>
          <t>Own insight</t>
        </is>
      </c>
      <c r="I116" t="inlineStr">
        <is>
          <t>Capability built in the modules; not shown to users by the studied products</t>
        </is>
      </c>
      <c r="J116" t="inlineStr">
        <is>
          <t>Not observable</t>
        </is>
      </c>
      <c r="K116" t="inlineStr">
        <is>
          <t>SHOULD-HAVE</t>
        </is>
      </c>
      <c r="L116" t="inlineStr">
        <is>
          <t>Supporting capability</t>
        </is>
      </c>
      <c r="M116" t="inlineStr">
        <is>
          <t>Supporting capability (not compared with competitors)</t>
        </is>
      </c>
      <c r="N116" t="inlineStr">
        <is>
          <t>Declared</t>
        </is>
      </c>
      <c r="O116" t="inlineStr">
        <is>
          <t>Own design</t>
        </is>
      </c>
      <c r="P116" t="inlineStr">
        <is>
          <t>Built and tested</t>
        </is>
      </c>
      <c r="Q116" t="inlineStr">
        <is>
          <t>Not compared</t>
        </is>
      </c>
      <c r="R116" t="inlineStr">
        <is>
          <t>No competitor claim</t>
        </is>
      </c>
      <c r="S116" t="inlineStr">
        <is>
          <t>Traced</t>
        </is>
      </c>
      <c r="U116" t="inlineStr">
        <is>
          <t>declared</t>
        </is>
      </c>
      <c r="V116" t="inlineStr">
        <is>
          <t>Class basis: Supporting capability (not compared with competitors) | Confidence: Declared (not observable) | Evidence status: Own design (no competitor claim) | Trace status: Traced to requirement</t>
        </is>
      </c>
    </row>
    <row r="117">
      <c r="A117" t="inlineStr">
        <is>
          <t>FD-114</t>
        </is>
      </c>
      <c r="B117" t="inlineStr">
        <is>
          <t>Feature</t>
        </is>
      </c>
      <c r="D117" t="inlineStr">
        <is>
          <t>Account administrators per organisation</t>
        </is>
      </c>
      <c r="E117" t="inlineStr">
        <is>
          <t>Account administrators are recruiters with a flag; what they may do comes from roles; an organisation keeps at least one.</t>
        </is>
      </c>
      <c r="F117" t="inlineStr">
        <is>
          <t>Organisation and admin</t>
        </is>
      </c>
      <c r="G117" t="inlineStr">
        <is>
          <t>Organisation administrator</t>
        </is>
      </c>
      <c r="H117" t="inlineStr">
        <is>
          <t>Own insight</t>
        </is>
      </c>
      <c r="I117" t="inlineStr">
        <is>
          <t>Capability built in the modules; not shown to users by the studied products</t>
        </is>
      </c>
      <c r="J117" t="inlineStr">
        <is>
          <t>Not observable</t>
        </is>
      </c>
      <c r="K117" t="inlineStr">
        <is>
          <t>SHOULD-HAVE</t>
        </is>
      </c>
      <c r="L117" t="inlineStr">
        <is>
          <t>Supporting capability</t>
        </is>
      </c>
      <c r="M117" t="inlineStr">
        <is>
          <t>Supporting capability (not compared with competitors)</t>
        </is>
      </c>
      <c r="N117" t="inlineStr">
        <is>
          <t>Declared</t>
        </is>
      </c>
      <c r="O117" t="inlineStr">
        <is>
          <t>Own design</t>
        </is>
      </c>
      <c r="P117" t="inlineStr">
        <is>
          <t>Built and tested</t>
        </is>
      </c>
      <c r="Q117" t="inlineStr">
        <is>
          <t>Not compared</t>
        </is>
      </c>
      <c r="R117" t="inlineStr">
        <is>
          <t>No competitor claim</t>
        </is>
      </c>
      <c r="S117" t="inlineStr">
        <is>
          <t>Traced</t>
        </is>
      </c>
      <c r="U117" t="inlineStr">
        <is>
          <t>declared</t>
        </is>
      </c>
      <c r="V117" t="inlineStr">
        <is>
          <t>Class basis: Supporting capability (not compared with competitors) | Confidence: Declared (not observable) | Evidence status: Own design (no competitor claim) | Trace status: Traced to requirement</t>
        </is>
      </c>
    </row>
    <row r="118">
      <c r="A118" t="inlineStr">
        <is>
          <t>FD-115</t>
        </is>
      </c>
      <c r="B118" t="inlineStr">
        <is>
          <t>Feature</t>
        </is>
      </c>
      <c r="D118" t="inlineStr">
        <is>
          <t>Locations with a map place reference</t>
        </is>
      </c>
      <c r="E118" t="inlineStr">
        <is>
          <t>Cities and organisation locations hold optional coordinates and a place reference from the maps system.</t>
        </is>
      </c>
      <c r="F118" t="inlineStr">
        <is>
          <t>Organisation and admin</t>
        </is>
      </c>
      <c r="G118" t="inlineStr">
        <is>
          <t>Organisation administrator</t>
        </is>
      </c>
      <c r="H118" t="inlineStr">
        <is>
          <t>Own insight</t>
        </is>
      </c>
      <c r="I118" t="inlineStr">
        <is>
          <t>Capability built in the modules; not shown to users by the studied products</t>
        </is>
      </c>
      <c r="J118" t="inlineStr">
        <is>
          <t>Not observable</t>
        </is>
      </c>
      <c r="K118" t="inlineStr">
        <is>
          <t>SHOULD-HAVE</t>
        </is>
      </c>
      <c r="L118" t="inlineStr">
        <is>
          <t>Supporting capability</t>
        </is>
      </c>
      <c r="M118" t="inlineStr">
        <is>
          <t>Supporting capability (not compared with competitors); the maps system is one of the nine outside systems (docs/integration-boundaries.md)</t>
        </is>
      </c>
      <c r="N118" t="inlineStr">
        <is>
          <t>Declared</t>
        </is>
      </c>
      <c r="O118" t="inlineStr">
        <is>
          <t>Own design</t>
        </is>
      </c>
      <c r="P118" t="inlineStr">
        <is>
          <t>Built and tested</t>
        </is>
      </c>
      <c r="Q118" t="inlineStr">
        <is>
          <t>Not compared</t>
        </is>
      </c>
      <c r="R118" t="inlineStr">
        <is>
          <t>No competitor claim</t>
        </is>
      </c>
      <c r="S118" t="inlineStr">
        <is>
          <t>Traced</t>
        </is>
      </c>
      <c r="U118" t="inlineStr">
        <is>
          <t>declared</t>
        </is>
      </c>
      <c r="V118" t="inlineStr">
        <is>
          <t>Class basis: Supporting capability (not compared with competitors); the maps system is one of the nine outside systems (docs/integration-boundaries.md) | Confidence: Declared (not observable) | Evidence status: Own design (no competitor claim) | Trace status: Traced to requirement</t>
        </is>
      </c>
    </row>
    <row r="119">
      <c r="A119" t="inlineStr">
        <is>
          <t>FD-116</t>
        </is>
      </c>
      <c r="B119" t="inlineStr">
        <is>
          <t>Feature</t>
        </is>
      </c>
      <c r="D119" t="inlineStr">
        <is>
          <t>Hiring line: General staffing</t>
        </is>
      </c>
      <c r="E119" t="inlineStr">
        <is>
          <t>An agency places contract workers at client sites; the agency is the employer.</t>
        </is>
      </c>
      <c r="F119" t="inlineStr">
        <is>
          <t>Jobs</t>
        </is>
      </c>
      <c r="G119" t="inlineStr">
        <is>
          <t>Recruiter</t>
        </is>
      </c>
      <c r="H119" t="inlineStr">
        <is>
          <t>Domain primer</t>
        </is>
      </c>
      <c r="I119" t="inlineStr">
        <is>
          <t>Domain Primer sheet: General staffing</t>
        </is>
      </c>
      <c r="J119" t="inlineStr">
        <is>
          <t>Not observable</t>
        </is>
      </c>
      <c r="K119" t="inlineStr">
        <is>
          <t>SHOULD-HAVE</t>
        </is>
      </c>
      <c r="L119" t="inlineStr">
        <is>
          <t>Domain primer</t>
        </is>
      </c>
      <c r="M119" t="inlineStr">
        <is>
          <t>Domain Primer: a hiring line the platform serves (not compared with competitors)</t>
        </is>
      </c>
      <c r="N119" t="inlineStr">
        <is>
          <t>Declared</t>
        </is>
      </c>
      <c r="O119" t="inlineStr">
        <is>
          <t>Own design</t>
        </is>
      </c>
      <c r="P119" t="inlineStr">
        <is>
          <t>Built and tested</t>
        </is>
      </c>
      <c r="Q119" t="inlineStr">
        <is>
          <t>Not compared</t>
        </is>
      </c>
      <c r="R119" t="inlineStr">
        <is>
          <t>No competitor claim</t>
        </is>
      </c>
      <c r="S119" t="inlineStr">
        <is>
          <t>Traced</t>
        </is>
      </c>
      <c r="U119" t="inlineStr">
        <is>
          <t>declared</t>
        </is>
      </c>
      <c r="V119" t="inlineStr">
        <is>
          <t>Source type: Domain Primer | Class basis: Domain Primer: a hiring line the platform serves (not compared with competitors) | Confidence: Declared (not observable) | Evidence status: Own design (no competitor claim) | Trace status: Traced to requirement</t>
        </is>
      </c>
    </row>
    <row r="120">
      <c r="A120" t="inlineStr">
        <is>
          <t>FD-117</t>
        </is>
      </c>
      <c r="B120" t="inlineStr">
        <is>
          <t>Feature</t>
        </is>
      </c>
      <c r="D120" t="inlineStr">
        <is>
          <t>Hiring line: Professional staffing</t>
        </is>
      </c>
      <c r="E120" t="inlineStr">
        <is>
          <t>IT and other contract professionals billed per month or hour.</t>
        </is>
      </c>
      <c r="F120" t="inlineStr">
        <is>
          <t>Jobs</t>
        </is>
      </c>
      <c r="G120" t="inlineStr">
        <is>
          <t>Hiring manager</t>
        </is>
      </c>
      <c r="H120" t="inlineStr">
        <is>
          <t>Domain primer</t>
        </is>
      </c>
      <c r="I120" t="inlineStr">
        <is>
          <t>Domain Primer sheet: Professional staffing</t>
        </is>
      </c>
      <c r="J120" t="inlineStr">
        <is>
          <t>Not observable</t>
        </is>
      </c>
      <c r="K120" t="inlineStr">
        <is>
          <t>SHOULD-HAVE</t>
        </is>
      </c>
      <c r="L120" t="inlineStr">
        <is>
          <t>Domain primer</t>
        </is>
      </c>
      <c r="M120" t="inlineStr">
        <is>
          <t>Domain Primer: a hiring line the platform serves (not compared with competitors)</t>
        </is>
      </c>
      <c r="N120" t="inlineStr">
        <is>
          <t>Declared</t>
        </is>
      </c>
      <c r="O120" t="inlineStr">
        <is>
          <t>Own design</t>
        </is>
      </c>
      <c r="P120" t="inlineStr">
        <is>
          <t>Built and tested</t>
        </is>
      </c>
      <c r="Q120" t="inlineStr">
        <is>
          <t>Not compared</t>
        </is>
      </c>
      <c r="R120" t="inlineStr">
        <is>
          <t>No competitor claim</t>
        </is>
      </c>
      <c r="S120" t="inlineStr">
        <is>
          <t>Traced</t>
        </is>
      </c>
      <c r="U120" t="inlineStr">
        <is>
          <t>declared</t>
        </is>
      </c>
      <c r="V120" t="inlineStr">
        <is>
          <t>Source type: Domain Primer | Class basis: Domain Primer: a hiring line the platform serves (not compared with competitors) | Confidence: Declared (not observable) | Evidence status: Own design (no competitor claim) | Trace status: Traced to requirement</t>
        </is>
      </c>
    </row>
    <row r="121">
      <c r="A121" t="inlineStr">
        <is>
          <t>FD-118</t>
        </is>
      </c>
      <c r="B121" t="inlineStr">
        <is>
          <t>Feature</t>
        </is>
      </c>
      <c r="D121" t="inlineStr">
        <is>
          <t>Hiring line: Permanent hiring</t>
        </is>
      </c>
      <c r="E121" t="inlineStr">
        <is>
          <t>Apply, shortlist, interview, offer, join, with offer revisions.</t>
        </is>
      </c>
      <c r="F121" t="inlineStr">
        <is>
          <t>Jobs</t>
        </is>
      </c>
      <c r="G121" t="inlineStr">
        <is>
          <t>Hiring manager</t>
        </is>
      </c>
      <c r="H121" t="inlineStr">
        <is>
          <t>Domain primer</t>
        </is>
      </c>
      <c r="I121" t="inlineStr">
        <is>
          <t>Domain Primer sheet: Permanent hiring</t>
        </is>
      </c>
      <c r="J121" t="inlineStr">
        <is>
          <t>Not observable</t>
        </is>
      </c>
      <c r="K121" t="inlineStr">
        <is>
          <t>SHOULD-HAVE</t>
        </is>
      </c>
      <c r="L121" t="inlineStr">
        <is>
          <t>Domain primer</t>
        </is>
      </c>
      <c r="M121" t="inlineStr">
        <is>
          <t>Domain Primer: a hiring line the platform serves (not compared with competitors)</t>
        </is>
      </c>
      <c r="N121" t="inlineStr">
        <is>
          <t>Declared</t>
        </is>
      </c>
      <c r="O121" t="inlineStr">
        <is>
          <t>Own design</t>
        </is>
      </c>
      <c r="P121" t="inlineStr">
        <is>
          <t>Built and tested</t>
        </is>
      </c>
      <c r="Q121" t="inlineStr">
        <is>
          <t>Not compared</t>
        </is>
      </c>
      <c r="R121" t="inlineStr">
        <is>
          <t>No competitor claim</t>
        </is>
      </c>
      <c r="S121" t="inlineStr">
        <is>
          <t>Traced</t>
        </is>
      </c>
      <c r="U121" t="inlineStr">
        <is>
          <t>declared</t>
        </is>
      </c>
      <c r="V121" t="inlineStr">
        <is>
          <t>Source type: Domain Primer | Class basis: Domain Primer: a hiring line the platform serves (not compared with competitors) | Confidence: Declared (not observable) | Evidence status: Own design (no competitor claim) | Trace status: Traced to requirement</t>
        </is>
      </c>
    </row>
    <row r="122">
      <c r="A122" t="inlineStr">
        <is>
          <t>FD-119</t>
        </is>
      </c>
      <c r="B122" t="inlineStr">
        <is>
          <t>Feature</t>
        </is>
      </c>
      <c r="D122" t="inlineStr">
        <is>
          <t>Hiring line: Apprentices</t>
        </is>
      </c>
      <c r="E122" t="inlineStr">
        <is>
          <t>Apprentice jobs with a statutory stipend by education level, through the job category.</t>
        </is>
      </c>
      <c r="F122" t="inlineStr">
        <is>
          <t>Jobs</t>
        </is>
      </c>
      <c r="G122" t="inlineStr">
        <is>
          <t>Hiring manager</t>
        </is>
      </c>
      <c r="H122" t="inlineStr">
        <is>
          <t>Domain primer</t>
        </is>
      </c>
      <c r="I122" t="inlineStr">
        <is>
          <t>Domain Primer sheet: Apprentices</t>
        </is>
      </c>
      <c r="J122" t="inlineStr">
        <is>
          <t>Not observable</t>
        </is>
      </c>
      <c r="K122" t="inlineStr">
        <is>
          <t>SHOULD-HAVE</t>
        </is>
      </c>
      <c r="L122" t="inlineStr">
        <is>
          <t>Domain primer</t>
        </is>
      </c>
      <c r="M122" t="inlineStr">
        <is>
          <t>Domain Primer: a hiring line the platform serves (not compared with competitors)</t>
        </is>
      </c>
      <c r="N122" t="inlineStr">
        <is>
          <t>Declared</t>
        </is>
      </c>
      <c r="O122" t="inlineStr">
        <is>
          <t>Own design</t>
        </is>
      </c>
      <c r="P122" t="inlineStr">
        <is>
          <t>Built and tested</t>
        </is>
      </c>
      <c r="Q122" t="inlineStr">
        <is>
          <t>Not compared</t>
        </is>
      </c>
      <c r="R122" t="inlineStr">
        <is>
          <t>No competitor claim</t>
        </is>
      </c>
      <c r="S122" t="inlineStr">
        <is>
          <t>Traced</t>
        </is>
      </c>
      <c r="U122" t="inlineStr">
        <is>
          <t>declared</t>
        </is>
      </c>
      <c r="V122" t="inlineStr">
        <is>
          <t>Source type: Domain Primer | Class basis: Domain Primer: a hiring line the platform serves (not compared with competitors) | Confidence: Declared (not observable) | Evidence status: Own design (no competitor claim) | Trace status: Traced to requirement</t>
        </is>
      </c>
    </row>
    <row r="123">
      <c r="A123" t="inlineStr">
        <is>
          <t>FD-120</t>
        </is>
      </c>
      <c r="B123" t="inlineStr">
        <is>
          <t>Feature</t>
        </is>
      </c>
      <c r="D123" t="inlineStr">
        <is>
          <t>Hiring line: Campus and freshers</t>
        </is>
      </c>
      <c r="E123" t="inlineStr">
        <is>
          <t>A placement cell runs drives and students apply through their institution.</t>
        </is>
      </c>
      <c r="F123" t="inlineStr">
        <is>
          <t>Campus</t>
        </is>
      </c>
      <c r="G123" t="inlineStr">
        <is>
          <t>Placement officer</t>
        </is>
      </c>
      <c r="H123" t="inlineStr">
        <is>
          <t>Domain primer</t>
        </is>
      </c>
      <c r="I123" t="inlineStr">
        <is>
          <t>Domain Primer sheet: Campus and freshers</t>
        </is>
      </c>
      <c r="J123" t="inlineStr">
        <is>
          <t>Not observable</t>
        </is>
      </c>
      <c r="K123" t="inlineStr">
        <is>
          <t>SHOULD-HAVE</t>
        </is>
      </c>
      <c r="L123" t="inlineStr">
        <is>
          <t>Domain primer</t>
        </is>
      </c>
      <c r="M123" t="inlineStr">
        <is>
          <t>Domain Primer: a hiring line the platform serves (not compared with competitors)</t>
        </is>
      </c>
      <c r="N123" t="inlineStr">
        <is>
          <t>Declared</t>
        </is>
      </c>
      <c r="O123" t="inlineStr">
        <is>
          <t>Own design</t>
        </is>
      </c>
      <c r="P123" t="inlineStr">
        <is>
          <t>Built and tested</t>
        </is>
      </c>
      <c r="Q123" t="inlineStr">
        <is>
          <t>Not compared</t>
        </is>
      </c>
      <c r="R123" t="inlineStr">
        <is>
          <t>No competitor claim</t>
        </is>
      </c>
      <c r="S123" t="inlineStr">
        <is>
          <t>Traced</t>
        </is>
      </c>
      <c r="U123" t="inlineStr">
        <is>
          <t>declared</t>
        </is>
      </c>
      <c r="V123" t="inlineStr">
        <is>
          <t>Source type: Domain Primer | Class basis: Domain Primer: a hiring line the platform serves (not compared with competitors) | Confidence: Declared (not observable) | Evidence status: Own design (no competitor claim) | Trace status: Traced to requirement</t>
        </is>
      </c>
    </row>
    <row r="124">
      <c r="A124" t="inlineStr">
        <is>
          <t>FD-121</t>
        </is>
      </c>
      <c r="B124" t="inlineStr">
        <is>
          <t>Feature</t>
        </is>
      </c>
      <c r="D124" t="inlineStr">
        <is>
          <t>Hiring line: Consultant marketplace</t>
        </is>
      </c>
      <c r="E124" t="inlineStr">
        <is>
          <t>Freelance recruiters source for jobs open to consultants.</t>
        </is>
      </c>
      <c r="F124" t="inlineStr">
        <is>
          <t>Consultants and sourcing</t>
        </is>
      </c>
      <c r="G124" t="inlineStr">
        <is>
          <t>Consultant</t>
        </is>
      </c>
      <c r="H124" t="inlineStr">
        <is>
          <t>Domain primer</t>
        </is>
      </c>
      <c r="I124" t="inlineStr">
        <is>
          <t>Domain Primer sheet: Consultant marketplace</t>
        </is>
      </c>
      <c r="J124" t="inlineStr">
        <is>
          <t>Not observable</t>
        </is>
      </c>
      <c r="K124" t="inlineStr">
        <is>
          <t>SHOULD-HAVE</t>
        </is>
      </c>
      <c r="L124" t="inlineStr">
        <is>
          <t>Domain primer</t>
        </is>
      </c>
      <c r="M124" t="inlineStr">
        <is>
          <t>Domain Primer: a hiring line the platform serves (not compared with competitors)</t>
        </is>
      </c>
      <c r="N124" t="inlineStr">
        <is>
          <t>Declared</t>
        </is>
      </c>
      <c r="O124" t="inlineStr">
        <is>
          <t>Own design</t>
        </is>
      </c>
      <c r="P124" t="inlineStr">
        <is>
          <t>Built and tested</t>
        </is>
      </c>
      <c r="Q124" t="inlineStr">
        <is>
          <t>Not compared</t>
        </is>
      </c>
      <c r="R124" t="inlineStr">
        <is>
          <t>No competitor claim</t>
        </is>
      </c>
      <c r="S124" t="inlineStr">
        <is>
          <t>Traced</t>
        </is>
      </c>
      <c r="U124" t="inlineStr">
        <is>
          <t>declared</t>
        </is>
      </c>
      <c r="V124" t="inlineStr">
        <is>
          <t>Source type: Domain Primer | Class basis: Domain Primer: a hiring line the platform serves (not compared with competitors) | Confidence: Declared (not observable) | Evidence status: Own design (no competitor claim) | Trace status: Traced to requirement</t>
        </is>
      </c>
    </row>
    <row r="125">
      <c r="A125" t="inlineStr">
        <is>
          <t>FD-122</t>
        </is>
      </c>
      <c r="B125" t="inlineStr">
        <is>
          <t>Feature</t>
        </is>
      </c>
      <c r="D125" t="inlineStr">
        <is>
          <t>Hiring line: Managed remote workforce</t>
        </is>
      </c>
      <c r="E125" t="inlineStr">
        <is>
          <t>An employer asks for a managed remote team, through the job category and work mode.</t>
        </is>
      </c>
      <c r="F125" t="inlineStr">
        <is>
          <t>Jobs</t>
        </is>
      </c>
      <c r="G125" t="inlineStr">
        <is>
          <t>Hiring manager</t>
        </is>
      </c>
      <c r="H125" t="inlineStr">
        <is>
          <t>Domain primer</t>
        </is>
      </c>
      <c r="I125" t="inlineStr">
        <is>
          <t>Domain Primer sheet: Managed remote workforce</t>
        </is>
      </c>
      <c r="J125" t="inlineStr">
        <is>
          <t>Not observable</t>
        </is>
      </c>
      <c r="K125" t="inlineStr">
        <is>
          <t>SHOULD-HAVE</t>
        </is>
      </c>
      <c r="L125" t="inlineStr">
        <is>
          <t>Domain primer</t>
        </is>
      </c>
      <c r="M125" t="inlineStr">
        <is>
          <t>Domain Primer: a hiring line the platform serves (not compared with competitors)</t>
        </is>
      </c>
      <c r="N125" t="inlineStr">
        <is>
          <t>Declared</t>
        </is>
      </c>
      <c r="O125" t="inlineStr">
        <is>
          <t>Own design</t>
        </is>
      </c>
      <c r="P125" t="inlineStr">
        <is>
          <t>Built and tested</t>
        </is>
      </c>
      <c r="Q125" t="inlineStr">
        <is>
          <t>Not compared</t>
        </is>
      </c>
      <c r="R125" t="inlineStr">
        <is>
          <t>No competitor claim</t>
        </is>
      </c>
      <c r="S125" t="inlineStr">
        <is>
          <t>Traced</t>
        </is>
      </c>
      <c r="U125" t="inlineStr">
        <is>
          <t>declared</t>
        </is>
      </c>
      <c r="V125" t="inlineStr">
        <is>
          <t>Source type: Domain Primer | Class basis: Domain Primer: a hiring line the platform serves (not compared with competitors) | Confidence: Declared (not observable) | Evidence status: Own design (no competitor claim) | Trace status: Traced to requirement</t>
        </is>
      </c>
    </row>
    <row r="126">
      <c r="A126" t="inlineStr">
        <is>
          <t>FD-123</t>
        </is>
      </c>
      <c r="B126" t="inlineStr">
        <is>
          <t>Feature</t>
        </is>
      </c>
      <c r="D126" t="inlineStr">
        <is>
          <t>Hiring line: Gig work</t>
        </is>
      </c>
      <c r="E126" t="inlineStr">
        <is>
          <t>Short tasks with a window and a price, one-way bids and outside fulfilment.</t>
        </is>
      </c>
      <c r="F126" t="inlineStr">
        <is>
          <t>Gig</t>
        </is>
      </c>
      <c r="G126" t="inlineStr">
        <is>
          <t>Gig worker</t>
        </is>
      </c>
      <c r="H126" t="inlineStr">
        <is>
          <t>Domain primer</t>
        </is>
      </c>
      <c r="I126" t="inlineStr">
        <is>
          <t>Domain Primer sheet: Gig work</t>
        </is>
      </c>
      <c r="J126" t="inlineStr">
        <is>
          <t>Not observable</t>
        </is>
      </c>
      <c r="K126" t="inlineStr">
        <is>
          <t>SHOULD-HAVE</t>
        </is>
      </c>
      <c r="L126" t="inlineStr">
        <is>
          <t>Domain primer</t>
        </is>
      </c>
      <c r="M126" t="inlineStr">
        <is>
          <t>Domain Primer: a hiring line the platform serves (not compared with competitors)</t>
        </is>
      </c>
      <c r="N126" t="inlineStr">
        <is>
          <t>Declared</t>
        </is>
      </c>
      <c r="O126" t="inlineStr">
        <is>
          <t>Own design</t>
        </is>
      </c>
      <c r="P126" t="inlineStr">
        <is>
          <t>Built</t>
        </is>
      </c>
      <c r="Q126" t="inlineStr">
        <is>
          <t>Not compared</t>
        </is>
      </c>
      <c r="R126" t="inlineStr">
        <is>
          <t>No competitor claim</t>
        </is>
      </c>
      <c r="S126" t="inlineStr">
        <is>
          <t>Traced</t>
        </is>
      </c>
      <c r="U126" t="inlineStr">
        <is>
          <t>declared</t>
        </is>
      </c>
      <c r="V126" t="inlineStr">
        <is>
          <t>Source type: Domain Primer | Class basis: Domain Primer: a hiring line the platform serves (not compared with competitors) | Confidence: Declared (not observable) | Evidence status: Own design (no competitor claim) | Trace status: Traced to requirement</t>
        </is>
      </c>
    </row>
    <row r="127">
      <c r="A127" t="inlineStr">
        <is>
          <t>FD-124</t>
        </is>
      </c>
      <c r="B127" t="inlineStr">
        <is>
          <t>Capability</t>
        </is>
      </c>
      <c r="C127" t="inlineStr">
        <is>
          <t>FD-018</t>
        </is>
      </c>
      <c r="D127" t="inlineStr">
        <is>
          <t>A candidate can hold several emails and phone numbers, one primary per type, no duplicates per candidate, vali...</t>
        </is>
      </c>
      <c r="E127" t="inlineStr">
        <is>
          <t>A candidate can hold several emails and phone numbers, one primary per type, no duplicates per candidate, valid shapes only.</t>
        </is>
      </c>
      <c r="F127" t="inlineStr">
        <is>
          <t>Profile</t>
        </is>
      </c>
      <c r="G127" t="inlineStr">
        <is>
          <t>Candidate</t>
        </is>
      </c>
      <c r="H127" t="inlineStr">
        <is>
          <t>Functional requirement</t>
        </is>
      </c>
      <c r="I127" t="inlineStr">
        <is>
          <t>FR-P02</t>
        </is>
      </c>
      <c r="J127" t="inlineStr">
        <is>
          <t>General</t>
        </is>
      </c>
      <c r="K127" t="inlineStr">
        <is>
          <t>MUST-HAVE</t>
        </is>
      </c>
      <c r="L127" t="inlineStr">
        <is>
          <t>Inherited from parent feature</t>
        </is>
      </c>
      <c r="M127" t="inlineStr">
        <is>
          <t>Part of FD-018: Personal details (date of birth, gender, address, contacts)</t>
        </is>
      </c>
      <c r="N127" t="inlineStr">
        <is>
          <t>Firm</t>
        </is>
      </c>
      <c r="O127" t="inlineStr">
        <is>
          <t>Known</t>
        </is>
      </c>
      <c r="P127" t="inlineStr">
        <is>
          <t>Built and tested</t>
        </is>
      </c>
      <c r="Q127" t="inlineStr">
        <is>
          <t>Matches</t>
        </is>
      </c>
      <c r="R127" t="inlineStr">
        <is>
          <t>Inherited from FD-018</t>
        </is>
      </c>
      <c r="S127" t="inlineStr">
        <is>
          <t>Traced</t>
        </is>
      </c>
      <c r="U127" t="inlineStr">
        <is>
          <t>inherited</t>
        </is>
      </c>
      <c r="V127" t="inlineStr">
        <is>
          <t>Class basis: Inherited from FD-018 | Trace status: Traced to requirement</t>
        </is>
      </c>
    </row>
    <row r="128">
      <c r="A128" t="inlineStr">
        <is>
          <t>FD-125</t>
        </is>
      </c>
      <c r="B128" t="inlineStr">
        <is>
          <t>Capability</t>
        </is>
      </c>
      <c r="C128" t="inlineStr">
        <is>
          <t>FD-029</t>
        </is>
      </c>
      <c r="D128" t="inlineStr">
        <is>
          <t>Employers and recruiters can bookmark candidates, and removals are kept as history</t>
        </is>
      </c>
      <c r="E128" t="inlineStr">
        <is>
          <t>Employers and recruiters can bookmark candidates, and removals are kept as history.</t>
        </is>
      </c>
      <c r="F128" t="inlineStr">
        <is>
          <t>Hiring workflow</t>
        </is>
      </c>
      <c r="G128" t="inlineStr">
        <is>
          <t>Recruiter</t>
        </is>
      </c>
      <c r="H128" t="inlineStr">
        <is>
          <t>Functional requirement</t>
        </is>
      </c>
      <c r="I128" t="inlineStr">
        <is>
          <t>FR-P09</t>
        </is>
      </c>
      <c r="J128" t="inlineStr">
        <is>
          <t>General</t>
        </is>
      </c>
      <c r="K128" t="inlineStr">
        <is>
          <t>MUST-HAVE</t>
        </is>
      </c>
      <c r="L128" t="inlineStr">
        <is>
          <t>Inherited from parent feature</t>
        </is>
      </c>
      <c r="M128" t="inlineStr">
        <is>
          <t>Part of FD-029: Folders of accessed or saved candidates</t>
        </is>
      </c>
      <c r="N128" t="inlineStr">
        <is>
          <t>Firm</t>
        </is>
      </c>
      <c r="O128" t="inlineStr">
        <is>
          <t>Public</t>
        </is>
      </c>
      <c r="P128" t="inlineStr">
        <is>
          <t>Built</t>
        </is>
      </c>
      <c r="Q128" t="inlineStr">
        <is>
          <t>Matches</t>
        </is>
      </c>
      <c r="R128" t="inlineStr">
        <is>
          <t>Inherited from FD-029</t>
        </is>
      </c>
      <c r="S128" t="inlineStr">
        <is>
          <t>Traced</t>
        </is>
      </c>
      <c r="U128" t="inlineStr">
        <is>
          <t>inherited</t>
        </is>
      </c>
      <c r="V128" t="inlineStr">
        <is>
          <t>Class basis: Inherited from FD-029 | Trace status: Traced to requirement</t>
        </is>
      </c>
    </row>
    <row r="129">
      <c r="A129" t="inlineStr">
        <is>
          <t>FD-126</t>
        </is>
      </c>
      <c r="B129" t="inlineStr">
        <is>
          <t>Capability</t>
        </is>
      </c>
      <c r="C129" t="inlineStr">
        <is>
          <t>FD-029</t>
        </is>
      </c>
      <c r="D129" t="inlineStr">
        <is>
          <t>Recruiters build shortlists of candidates for a requirement</t>
        </is>
      </c>
      <c r="E129" t="inlineStr">
        <is>
          <t>Recruiters build shortlists of candidates for a requirement.</t>
        </is>
      </c>
      <c r="F129" t="inlineStr">
        <is>
          <t>Hiring workflow</t>
        </is>
      </c>
      <c r="G129" t="inlineStr">
        <is>
          <t>Recruiter</t>
        </is>
      </c>
      <c r="H129" t="inlineStr">
        <is>
          <t>Functional requirement</t>
        </is>
      </c>
      <c r="I129" t="inlineStr">
        <is>
          <t>FR-J11</t>
        </is>
      </c>
      <c r="J129" t="inlineStr">
        <is>
          <t>General</t>
        </is>
      </c>
      <c r="K129" t="inlineStr">
        <is>
          <t>MUST-HAVE</t>
        </is>
      </c>
      <c r="L129" t="inlineStr">
        <is>
          <t>Inherited from parent feature</t>
        </is>
      </c>
      <c r="M129" t="inlineStr">
        <is>
          <t>Part of FD-029: Folders of accessed or saved candidates</t>
        </is>
      </c>
      <c r="N129" t="inlineStr">
        <is>
          <t>Firm</t>
        </is>
      </c>
      <c r="O129" t="inlineStr">
        <is>
          <t>Public</t>
        </is>
      </c>
      <c r="P129" t="inlineStr">
        <is>
          <t>Built and tested</t>
        </is>
      </c>
      <c r="Q129" t="inlineStr">
        <is>
          <t>Matches</t>
        </is>
      </c>
      <c r="R129" t="inlineStr">
        <is>
          <t>Inherited from FD-029</t>
        </is>
      </c>
      <c r="S129" t="inlineStr">
        <is>
          <t>Traced</t>
        </is>
      </c>
      <c r="U129" t="inlineStr">
        <is>
          <t>inherited</t>
        </is>
      </c>
      <c r="V129" t="inlineStr">
        <is>
          <t>Class basis: Inherited from FD-029 | Trace status: Traced to requirement</t>
        </is>
      </c>
    </row>
    <row r="130">
      <c r="A130" t="inlineStr">
        <is>
          <t>FD-127</t>
        </is>
      </c>
      <c r="B130" t="inlineStr">
        <is>
          <t>Capability</t>
        </is>
      </c>
      <c r="C130" t="inlineStr">
        <is>
          <t>FD-032</t>
        </is>
      </c>
      <c r="D130" t="inlineStr">
        <is>
          <t>A user registers devices under a licence up to the device limit</t>
        </is>
      </c>
      <c r="E130" t="inlineStr">
        <is>
          <t>A user registers devices under a licence up to the device limit; a revoked device is recorded with who and why and stays revoked.</t>
        </is>
      </c>
      <c r="F130" t="inlineStr">
        <is>
          <t>Licences, subscriptions and wallet</t>
        </is>
      </c>
      <c r="G130" t="inlineStr">
        <is>
          <t>Organisation administrator</t>
        </is>
      </c>
      <c r="H130" t="inlineStr">
        <is>
          <t>Functional requirement</t>
        </is>
      </c>
      <c r="I130" t="inlineStr">
        <is>
          <t>FR-L03</t>
        </is>
      </c>
      <c r="J130" t="inlineStr">
        <is>
          <t>General</t>
        </is>
      </c>
      <c r="K130" t="inlineStr">
        <is>
          <t>SHOULD-HAVE</t>
        </is>
      </c>
      <c r="L130" t="inlineStr">
        <is>
          <t>Inherited from parent feature</t>
        </is>
      </c>
      <c r="M130" t="inlineStr">
        <is>
          <t>Part of FD-032: Team users, seats, device limits</t>
        </is>
      </c>
      <c r="N130" t="inlineStr">
        <is>
          <t>Provisional</t>
        </is>
      </c>
      <c r="O130" t="inlineStr">
        <is>
          <t>Public</t>
        </is>
      </c>
      <c r="P130" t="inlineStr">
        <is>
          <t>Built and tested</t>
        </is>
      </c>
      <c r="Q130" t="inlineStr">
        <is>
          <t>Exceeds</t>
        </is>
      </c>
      <c r="R130" t="inlineStr">
        <is>
          <t>Inherited from FD-032</t>
        </is>
      </c>
      <c r="S130" t="inlineStr">
        <is>
          <t>Traced</t>
        </is>
      </c>
      <c r="U130" t="inlineStr">
        <is>
          <t>inherited</t>
        </is>
      </c>
      <c r="V130" t="inlineStr">
        <is>
          <t>Class basis: Inherited from FD-032 | Trace status: Traced to requirement</t>
        </is>
      </c>
    </row>
    <row r="131">
      <c r="A131" t="inlineStr">
        <is>
          <t>FD-128</t>
        </is>
      </c>
      <c r="B131" t="inlineStr">
        <is>
          <t>Capability</t>
        </is>
      </c>
      <c r="C131" t="inlineStr">
        <is>
          <t>FD-032</t>
        </is>
      </c>
      <c r="D131" t="inlineStr">
        <is>
          <t>Sessions keep device, start, last activity and end</t>
        </is>
      </c>
      <c r="E131" t="inlineStr">
        <is>
          <t>Sessions keep device, start, last activity and end; finished sessions are kept 90 days by month; expired and revoked sessions are not counted.</t>
        </is>
      </c>
      <c r="F131" t="inlineStr">
        <is>
          <t>Licences, subscriptions and wallet</t>
        </is>
      </c>
      <c r="G131" t="inlineStr">
        <is>
          <t>Organisation administrator</t>
        </is>
      </c>
      <c r="H131" t="inlineStr">
        <is>
          <t>Functional requirement</t>
        </is>
      </c>
      <c r="I131" t="inlineStr">
        <is>
          <t>FR-L06</t>
        </is>
      </c>
      <c r="J131" t="inlineStr">
        <is>
          <t>General</t>
        </is>
      </c>
      <c r="K131" t="inlineStr">
        <is>
          <t>SHOULD-HAVE</t>
        </is>
      </c>
      <c r="L131" t="inlineStr">
        <is>
          <t>Inherited from parent feature</t>
        </is>
      </c>
      <c r="M131" t="inlineStr">
        <is>
          <t>Part of FD-032: Team users, seats, device limits</t>
        </is>
      </c>
      <c r="N131" t="inlineStr">
        <is>
          <t>Provisional</t>
        </is>
      </c>
      <c r="O131" t="inlineStr">
        <is>
          <t>Public</t>
        </is>
      </c>
      <c r="P131" t="inlineStr">
        <is>
          <t>Built and tested</t>
        </is>
      </c>
      <c r="Q131" t="inlineStr">
        <is>
          <t>Exceeds</t>
        </is>
      </c>
      <c r="R131" t="inlineStr">
        <is>
          <t>Inherited from FD-032</t>
        </is>
      </c>
      <c r="S131" t="inlineStr">
        <is>
          <t>Traced</t>
        </is>
      </c>
      <c r="U131" t="inlineStr">
        <is>
          <t>inherited</t>
        </is>
      </c>
      <c r="V131" t="inlineStr">
        <is>
          <t>Class basis: Inherited from FD-032 | Trace status: Traced to requirement</t>
        </is>
      </c>
    </row>
    <row r="132">
      <c r="A132" t="inlineStr">
        <is>
          <t>FD-129</t>
        </is>
      </c>
      <c r="B132" t="inlineStr">
        <is>
          <t>Capability</t>
        </is>
      </c>
      <c r="C132" t="inlineStr">
        <is>
          <t>FD-032</t>
        </is>
      </c>
      <c r="D132" t="inlineStr">
        <is>
          <t>Revoking a device or a session is audited, and ending a seat, a membership or a licence ends what depended on ...</t>
        </is>
      </c>
      <c r="E132" t="inlineStr">
        <is>
          <t>Revoking a device or a session is audited, and ending a seat, a membership or a licence ends what depended on it.</t>
        </is>
      </c>
      <c r="F132" t="inlineStr">
        <is>
          <t>Licences, subscriptions and wallet</t>
        </is>
      </c>
      <c r="G132" t="inlineStr">
        <is>
          <t>Organisation administrator</t>
        </is>
      </c>
      <c r="H132" t="inlineStr">
        <is>
          <t>Functional requirement</t>
        </is>
      </c>
      <c r="I132" t="inlineStr">
        <is>
          <t>FR-L07</t>
        </is>
      </c>
      <c r="J132" t="inlineStr">
        <is>
          <t>General</t>
        </is>
      </c>
      <c r="K132" t="inlineStr">
        <is>
          <t>SHOULD-HAVE</t>
        </is>
      </c>
      <c r="L132" t="inlineStr">
        <is>
          <t>Inherited from parent feature</t>
        </is>
      </c>
      <c r="M132" t="inlineStr">
        <is>
          <t>Part of FD-032: Team users, seats, device limits</t>
        </is>
      </c>
      <c r="N132" t="inlineStr">
        <is>
          <t>Provisional</t>
        </is>
      </c>
      <c r="O132" t="inlineStr">
        <is>
          <t>Public</t>
        </is>
      </c>
      <c r="P132" t="inlineStr">
        <is>
          <t>Built and tested</t>
        </is>
      </c>
      <c r="Q132" t="inlineStr">
        <is>
          <t>Exceeds</t>
        </is>
      </c>
      <c r="R132" t="inlineStr">
        <is>
          <t>Inherited from FD-032</t>
        </is>
      </c>
      <c r="S132" t="inlineStr">
        <is>
          <t>Traced</t>
        </is>
      </c>
      <c r="U132" t="inlineStr">
        <is>
          <t>inherited</t>
        </is>
      </c>
      <c r="V132" t="inlineStr">
        <is>
          <t>Class basis: Inherited from FD-032 | Trace status: Traced to requirement</t>
        </is>
      </c>
    </row>
    <row r="133">
      <c r="A133" t="inlineStr">
        <is>
          <t>FD-130</t>
        </is>
      </c>
      <c r="B133" t="inlineStr">
        <is>
          <t>Capability</t>
        </is>
      </c>
      <c r="C133" t="inlineStr">
        <is>
          <t>FD-032</t>
        </is>
      </c>
      <c r="D133" t="inlineStr">
        <is>
          <t>Only the licence functions can end a session or write its history, and only a role with the grant can call the...</t>
        </is>
      </c>
      <c r="E133" t="inlineStr">
        <is>
          <t>Only the licence functions can end a session or write its history, and only a role with the grant can call them.</t>
        </is>
      </c>
      <c r="F133" t="inlineStr">
        <is>
          <t>Licences, subscriptions and wallet</t>
        </is>
      </c>
      <c r="G133" t="inlineStr">
        <is>
          <t>Organisation administrator</t>
        </is>
      </c>
      <c r="H133" t="inlineStr">
        <is>
          <t>Functional requirement</t>
        </is>
      </c>
      <c r="I133" t="inlineStr">
        <is>
          <t>FR-L08</t>
        </is>
      </c>
      <c r="J133" t="inlineStr">
        <is>
          <t>General</t>
        </is>
      </c>
      <c r="K133" t="inlineStr">
        <is>
          <t>SHOULD-HAVE</t>
        </is>
      </c>
      <c r="L133" t="inlineStr">
        <is>
          <t>Inherited from parent feature</t>
        </is>
      </c>
      <c r="M133" t="inlineStr">
        <is>
          <t>Part of FD-032: Team users, seats, device limits</t>
        </is>
      </c>
      <c r="N133" t="inlineStr">
        <is>
          <t>Provisional</t>
        </is>
      </c>
      <c r="O133" t="inlineStr">
        <is>
          <t>Public</t>
        </is>
      </c>
      <c r="P133" t="inlineStr">
        <is>
          <t>Built and tested</t>
        </is>
      </c>
      <c r="Q133" t="inlineStr">
        <is>
          <t>Exceeds</t>
        </is>
      </c>
      <c r="R133" t="inlineStr">
        <is>
          <t>Inherited from FD-032</t>
        </is>
      </c>
      <c r="S133" t="inlineStr">
        <is>
          <t>Traced</t>
        </is>
      </c>
      <c r="U133" t="inlineStr">
        <is>
          <t>inherited</t>
        </is>
      </c>
      <c r="V133" t="inlineStr">
        <is>
          <t>Class basis: Inherited from FD-032 | Trace status: Traced to requirement</t>
        </is>
      </c>
    </row>
    <row r="134">
      <c r="A134" t="inlineStr">
        <is>
          <t>FD-131</t>
        </is>
      </c>
      <c r="B134" t="inlineStr">
        <is>
          <t>Capability</t>
        </is>
      </c>
      <c r="C134" t="inlineStr">
        <is>
          <t>FD-033</t>
        </is>
      </c>
      <c r="D134" t="inlineStr">
        <is>
          <t>Registration and tax numbers are kept apart as Sensitive data, with country and type, and each type states the...</t>
        </is>
      </c>
      <c r="E134" t="inlineStr">
        <is>
          <t>Registration and tax numbers are kept apart as Sensitive data, with country and type, and each type states the format the number must match.</t>
        </is>
      </c>
      <c r="F134" t="inlineStr">
        <is>
          <t>Organisation and admin</t>
        </is>
      </c>
      <c r="G134" t="inlineStr">
        <is>
          <t>Organisation administrator</t>
        </is>
      </c>
      <c r="H134" t="inlineStr">
        <is>
          <t>Functional requirement</t>
        </is>
      </c>
      <c r="I134" t="inlineStr">
        <is>
          <t>FR-O03</t>
        </is>
      </c>
      <c r="J134" t="inlineStr">
        <is>
          <t>General</t>
        </is>
      </c>
      <c r="K134" t="inlineStr">
        <is>
          <t>SHOULD-HAVE</t>
        </is>
      </c>
      <c r="L134" t="inlineStr">
        <is>
          <t>Inherited from parent feature</t>
        </is>
      </c>
      <c r="M134" t="inlineStr">
        <is>
          <t>Part of FD-033: Company details, locations, tax ids, verification</t>
        </is>
      </c>
      <c r="N134" t="inlineStr">
        <is>
          <t>Provisional</t>
        </is>
      </c>
      <c r="O134" t="inlineStr">
        <is>
          <t>Known</t>
        </is>
      </c>
      <c r="P134" t="inlineStr">
        <is>
          <t>Built and tested</t>
        </is>
      </c>
      <c r="Q134" t="inlineStr">
        <is>
          <t>Matches</t>
        </is>
      </c>
      <c r="R134" t="inlineStr">
        <is>
          <t>Inherited from FD-033</t>
        </is>
      </c>
      <c r="S134" t="inlineStr">
        <is>
          <t>Traced</t>
        </is>
      </c>
      <c r="U134" t="inlineStr">
        <is>
          <t>inherited</t>
        </is>
      </c>
      <c r="V134" t="inlineStr">
        <is>
          <t>Class basis: Inherited from FD-033 | Trace status: Traced to requirement</t>
        </is>
      </c>
    </row>
    <row r="135">
      <c r="A135" t="inlineStr">
        <is>
          <t>FD-132</t>
        </is>
      </c>
      <c r="B135" t="inlineStr">
        <is>
          <t>Capability</t>
        </is>
      </c>
      <c r="C135" t="inlineStr">
        <is>
          <t>FD-033</t>
        </is>
      </c>
      <c r="D135" t="inlineStr">
        <is>
          <t>Verification of an organisation is an append-only history</t>
        </is>
      </c>
      <c r="E135" t="inlineStr">
        <is>
          <t>Verification of an organisation is an append-only history; a repeated provider event adds no second row.</t>
        </is>
      </c>
      <c r="F135" t="inlineStr">
        <is>
          <t>Organisation and admin</t>
        </is>
      </c>
      <c r="G135" t="inlineStr">
        <is>
          <t>Organisation administrator</t>
        </is>
      </c>
      <c r="H135" t="inlineStr">
        <is>
          <t>Functional requirement</t>
        </is>
      </c>
      <c r="I135" t="inlineStr">
        <is>
          <t>FR-O04</t>
        </is>
      </c>
      <c r="J135" t="inlineStr">
        <is>
          <t>General</t>
        </is>
      </c>
      <c r="K135" t="inlineStr">
        <is>
          <t>SHOULD-HAVE</t>
        </is>
      </c>
      <c r="L135" t="inlineStr">
        <is>
          <t>Inherited from parent feature</t>
        </is>
      </c>
      <c r="M135" t="inlineStr">
        <is>
          <t>Part of FD-033: Company details, locations, tax ids, verification</t>
        </is>
      </c>
      <c r="N135" t="inlineStr">
        <is>
          <t>Provisional</t>
        </is>
      </c>
      <c r="O135" t="inlineStr">
        <is>
          <t>Known</t>
        </is>
      </c>
      <c r="P135" t="inlineStr">
        <is>
          <t>Built and tested</t>
        </is>
      </c>
      <c r="Q135" t="inlineStr">
        <is>
          <t>Matches</t>
        </is>
      </c>
      <c r="R135" t="inlineStr">
        <is>
          <t>Inherited from FD-033</t>
        </is>
      </c>
      <c r="S135" t="inlineStr">
        <is>
          <t>Traced</t>
        </is>
      </c>
      <c r="U135" t="inlineStr">
        <is>
          <t>inherited</t>
        </is>
      </c>
      <c r="V135" t="inlineStr">
        <is>
          <t>Class basis: Inherited from FD-033 | Trace status: Traced to requirement</t>
        </is>
      </c>
    </row>
    <row r="136">
      <c r="A136" t="inlineStr">
        <is>
          <t>FD-133</t>
        </is>
      </c>
      <c r="B136" t="inlineStr">
        <is>
          <t>Capability</t>
        </is>
      </c>
      <c r="C136" t="inlineStr">
        <is>
          <t>FD-033</t>
        </is>
      </c>
      <c r="D136" t="inlineStr">
        <is>
          <t>An email domain belongs to one active organisation, for matching recruiter addresses</t>
        </is>
      </c>
      <c r="E136" t="inlineStr">
        <is>
          <t>An email domain belongs to one active organisation, for matching recruiter addresses.</t>
        </is>
      </c>
      <c r="F136" t="inlineStr">
        <is>
          <t>Organisation and admin</t>
        </is>
      </c>
      <c r="G136" t="inlineStr">
        <is>
          <t>Organisation administrator</t>
        </is>
      </c>
      <c r="H136" t="inlineStr">
        <is>
          <t>Functional requirement</t>
        </is>
      </c>
      <c r="I136" t="inlineStr">
        <is>
          <t>FR-O07</t>
        </is>
      </c>
      <c r="J136" t="inlineStr">
        <is>
          <t>General</t>
        </is>
      </c>
      <c r="K136" t="inlineStr">
        <is>
          <t>SHOULD-HAVE</t>
        </is>
      </c>
      <c r="L136" t="inlineStr">
        <is>
          <t>Inherited from parent feature</t>
        </is>
      </c>
      <c r="M136" t="inlineStr">
        <is>
          <t>Part of FD-033: Company details, locations, tax ids, verification</t>
        </is>
      </c>
      <c r="N136" t="inlineStr">
        <is>
          <t>Provisional</t>
        </is>
      </c>
      <c r="O136" t="inlineStr">
        <is>
          <t>Known</t>
        </is>
      </c>
      <c r="P136" t="inlineStr">
        <is>
          <t>Built and tested</t>
        </is>
      </c>
      <c r="Q136" t="inlineStr">
        <is>
          <t>Matches</t>
        </is>
      </c>
      <c r="R136" t="inlineStr">
        <is>
          <t>Inherited from FD-033</t>
        </is>
      </c>
      <c r="S136" t="inlineStr">
        <is>
          <t>Traced</t>
        </is>
      </c>
      <c r="U136" t="inlineStr">
        <is>
          <t>inherited</t>
        </is>
      </c>
      <c r="V136" t="inlineStr">
        <is>
          <t>Class basis: Inherited from FD-033 | Trace status: Traced to requirement</t>
        </is>
      </c>
    </row>
    <row r="137">
      <c r="A137" t="inlineStr">
        <is>
          <t>FD-134</t>
        </is>
      </c>
      <c r="B137" t="inlineStr">
        <is>
          <t>Capability</t>
        </is>
      </c>
      <c r="C137" t="inlineStr">
        <is>
          <t>FD-037</t>
        </is>
      </c>
      <c r="D137" t="inlineStr">
        <is>
          <t>A requirement lists required and preferred skills, qualifications and locations</t>
        </is>
      </c>
      <c r="E137" t="inlineStr">
        <is>
          <t>A requirement lists required and preferred skills, qualifications and locations.</t>
        </is>
      </c>
      <c r="F137" t="inlineStr">
        <is>
          <t>Jobs</t>
        </is>
      </c>
      <c r="G137" t="inlineStr">
        <is>
          <t>Hiring manager</t>
        </is>
      </c>
      <c r="H137" t="inlineStr">
        <is>
          <t>Functional requirement</t>
        </is>
      </c>
      <c r="I137" t="inlineStr">
        <is>
          <t>FR-J03</t>
        </is>
      </c>
      <c r="J137" t="inlineStr">
        <is>
          <t>General</t>
        </is>
      </c>
      <c r="K137" t="inlineStr">
        <is>
          <t>SHOULD-HAVE</t>
        </is>
      </c>
      <c r="L137" t="inlineStr">
        <is>
          <t>Inherited from parent feature</t>
        </is>
      </c>
      <c r="M137" t="inlineStr">
        <is>
          <t>Part of FD-037: Job posting with skills, qualifications, locations, experience range, salary</t>
        </is>
      </c>
      <c r="N137" t="inlineStr">
        <is>
          <t>Provisional</t>
        </is>
      </c>
      <c r="O137" t="inlineStr">
        <is>
          <t>Known</t>
        </is>
      </c>
      <c r="P137" t="inlineStr">
        <is>
          <t>Built and tested</t>
        </is>
      </c>
      <c r="Q137" t="inlineStr">
        <is>
          <t>Matches</t>
        </is>
      </c>
      <c r="R137" t="inlineStr">
        <is>
          <t>Inherited from FD-037</t>
        </is>
      </c>
      <c r="S137" t="inlineStr">
        <is>
          <t>Traced</t>
        </is>
      </c>
      <c r="U137" t="inlineStr">
        <is>
          <t>inherited</t>
        </is>
      </c>
      <c r="V137" t="inlineStr">
        <is>
          <t>Class basis: Inherited from FD-037 | Trace status: Traced to requirement</t>
        </is>
      </c>
    </row>
    <row r="138">
      <c r="A138" t="inlineStr">
        <is>
          <t>FD-135</t>
        </is>
      </c>
      <c r="B138" t="inlineStr">
        <is>
          <t>Capability</t>
        </is>
      </c>
      <c r="C138" t="inlineStr">
        <is>
          <t>FD-040</t>
        </is>
      </c>
      <c r="D138" t="inlineStr">
        <is>
          <t>An application keeps its current status and an append-only history of every change</t>
        </is>
      </c>
      <c r="E138" t="inlineStr">
        <is>
          <t>An application keeps its current status and an append-only history of every change.</t>
        </is>
      </c>
      <c r="F138" t="inlineStr">
        <is>
          <t>Applications</t>
        </is>
      </c>
      <c r="G138" t="inlineStr">
        <is>
          <t>Candidate</t>
        </is>
      </c>
      <c r="H138" t="inlineStr">
        <is>
          <t>Functional requirement</t>
        </is>
      </c>
      <c r="I138" t="inlineStr">
        <is>
          <t>FR-J09</t>
        </is>
      </c>
      <c r="J138" t="inlineStr">
        <is>
          <t>General</t>
        </is>
      </c>
      <c r="K138" t="inlineStr">
        <is>
          <t>MUST-HAVE</t>
        </is>
      </c>
      <c r="L138" t="inlineStr">
        <is>
          <t>Inherited from parent feature</t>
        </is>
      </c>
      <c r="M138" t="inlineStr">
        <is>
          <t>Part of FD-040: Application status tracking</t>
        </is>
      </c>
      <c r="N138" t="inlineStr">
        <is>
          <t>Firm</t>
        </is>
      </c>
      <c r="O138" t="inlineStr">
        <is>
          <t>Known</t>
        </is>
      </c>
      <c r="P138" t="inlineStr">
        <is>
          <t>Built and tested</t>
        </is>
      </c>
      <c r="Q138" t="inlineStr">
        <is>
          <t>Exceeds</t>
        </is>
      </c>
      <c r="R138" t="inlineStr">
        <is>
          <t>Inherited from FD-040</t>
        </is>
      </c>
      <c r="S138" t="inlineStr">
        <is>
          <t>Traced</t>
        </is>
      </c>
      <c r="U138" t="inlineStr">
        <is>
          <t>inherited</t>
        </is>
      </c>
      <c r="V138" t="inlineStr">
        <is>
          <t>Class basis: Inherited from FD-040 | Trace status: Traced to requirement</t>
        </is>
      </c>
    </row>
    <row r="139">
      <c r="A139" t="inlineStr">
        <is>
          <t>FD-136</t>
        </is>
      </c>
      <c r="B139" t="inlineStr">
        <is>
          <t>Capability</t>
        </is>
      </c>
      <c r="C139" t="inlineStr">
        <is>
          <t>FD-040</t>
        </is>
      </c>
      <c r="D139" t="inlineStr">
        <is>
          <t>A rejection records a standard reason and a note</t>
        </is>
      </c>
      <c r="E139" t="inlineStr">
        <is>
          <t>A rejection records a standard reason and a note; recruiters keep notes on applications.</t>
        </is>
      </c>
      <c r="F139" t="inlineStr">
        <is>
          <t>Applications</t>
        </is>
      </c>
      <c r="G139" t="inlineStr">
        <is>
          <t>Candidate</t>
        </is>
      </c>
      <c r="H139" t="inlineStr">
        <is>
          <t>Functional requirement</t>
        </is>
      </c>
      <c r="I139" t="inlineStr">
        <is>
          <t>FR-J10</t>
        </is>
      </c>
      <c r="J139" t="inlineStr">
        <is>
          <t>General</t>
        </is>
      </c>
      <c r="K139" t="inlineStr">
        <is>
          <t>MUST-HAVE</t>
        </is>
      </c>
      <c r="L139" t="inlineStr">
        <is>
          <t>Inherited from parent feature</t>
        </is>
      </c>
      <c r="M139" t="inlineStr">
        <is>
          <t>Part of FD-040: Application status tracking</t>
        </is>
      </c>
      <c r="N139" t="inlineStr">
        <is>
          <t>Firm</t>
        </is>
      </c>
      <c r="O139" t="inlineStr">
        <is>
          <t>Known</t>
        </is>
      </c>
      <c r="P139" t="inlineStr">
        <is>
          <t>Built and tested</t>
        </is>
      </c>
      <c r="Q139" t="inlineStr">
        <is>
          <t>Exceeds</t>
        </is>
      </c>
      <c r="R139" t="inlineStr">
        <is>
          <t>Inherited from FD-040</t>
        </is>
      </c>
      <c r="S139" t="inlineStr">
        <is>
          <t>Traced</t>
        </is>
      </c>
      <c r="U139" t="inlineStr">
        <is>
          <t>inherited</t>
        </is>
      </c>
      <c r="V139" t="inlineStr">
        <is>
          <t>Class basis: Inherited from FD-040 | Trace status: Traced to requirement</t>
        </is>
      </c>
    </row>
    <row r="140">
      <c r="A140" t="inlineStr">
        <is>
          <t>FD-137</t>
        </is>
      </c>
      <c r="B140" t="inlineStr">
        <is>
          <t>Capability</t>
        </is>
      </c>
      <c r="C140" t="inlineStr">
        <is>
          <t>FD-041</t>
        </is>
      </c>
      <c r="D140" t="inlineStr">
        <is>
          <t>Interviews are scheduled by round with a panel</t>
        </is>
      </c>
      <c r="E140" t="inlineStr">
        <is>
          <t>Interviews are scheduled by round with a panel; a cancelled round frees its number; interviewers give one rating and recommendation each.</t>
        </is>
      </c>
      <c r="F140" t="inlineStr">
        <is>
          <t>Hiring workflow</t>
        </is>
      </c>
      <c r="G140" t="inlineStr">
        <is>
          <t>Hiring manager</t>
        </is>
      </c>
      <c r="H140" t="inlineStr">
        <is>
          <t>Functional requirement</t>
        </is>
      </c>
      <c r="I140" t="inlineStr">
        <is>
          <t>FR-J12</t>
        </is>
      </c>
      <c r="J140" t="inlineStr">
        <is>
          <t>General</t>
        </is>
      </c>
      <c r="K140" t="inlineStr">
        <is>
          <t>DIFFERENTIATOR</t>
        </is>
      </c>
      <c r="L140" t="inlineStr">
        <is>
          <t>Inherited from parent feature</t>
        </is>
      </c>
      <c r="M140" t="inlineStr">
        <is>
          <t>Part of FD-041: Interviews, feedback, offers, joining</t>
        </is>
      </c>
      <c r="N140" t="inlineStr">
        <is>
          <t>Firm</t>
        </is>
      </c>
      <c r="O140" t="inlineStr">
        <is>
          <t>Known</t>
        </is>
      </c>
      <c r="P140" t="inlineStr">
        <is>
          <t>Built and tested</t>
        </is>
      </c>
      <c r="Q140" t="inlineStr">
        <is>
          <t>Exceeds</t>
        </is>
      </c>
      <c r="R140" t="inlineStr">
        <is>
          <t>Inherited from FD-041</t>
        </is>
      </c>
      <c r="S140" t="inlineStr">
        <is>
          <t>Traced</t>
        </is>
      </c>
      <c r="U140" t="inlineStr">
        <is>
          <t>inherited</t>
        </is>
      </c>
      <c r="V140" t="inlineStr">
        <is>
          <t>Class basis: Inherited from FD-041 | Trace status: Traced to requirement</t>
        </is>
      </c>
    </row>
    <row r="141">
      <c r="A141" t="inlineStr">
        <is>
          <t>FD-138</t>
        </is>
      </c>
      <c r="B141" t="inlineStr">
        <is>
          <t>Capability</t>
        </is>
      </c>
      <c r="C141" t="inlineStr">
        <is>
          <t>FD-041</t>
        </is>
      </c>
      <c r="D141" t="inlineStr">
        <is>
          <t>Offers are revised as new rows with a revision number and the offer they replace</t>
        </is>
      </c>
      <c r="E141" t="inlineStr">
        <is>
          <t>Offers are revised as new rows with a revision number and the offer they replace; the candidate's response is kept.</t>
        </is>
      </c>
      <c r="F141" t="inlineStr">
        <is>
          <t>Hiring workflow</t>
        </is>
      </c>
      <c r="G141" t="inlineStr">
        <is>
          <t>Hiring manager</t>
        </is>
      </c>
      <c r="H141" t="inlineStr">
        <is>
          <t>Functional requirement</t>
        </is>
      </c>
      <c r="I141" t="inlineStr">
        <is>
          <t>FR-J13</t>
        </is>
      </c>
      <c r="J141" t="inlineStr">
        <is>
          <t>General</t>
        </is>
      </c>
      <c r="K141" t="inlineStr">
        <is>
          <t>DIFFERENTIATOR</t>
        </is>
      </c>
      <c r="L141" t="inlineStr">
        <is>
          <t>Inherited from parent feature</t>
        </is>
      </c>
      <c r="M141" t="inlineStr">
        <is>
          <t>Part of FD-041: Interviews, feedback, offers, joining</t>
        </is>
      </c>
      <c r="N141" t="inlineStr">
        <is>
          <t>Firm</t>
        </is>
      </c>
      <c r="O141" t="inlineStr">
        <is>
          <t>Known</t>
        </is>
      </c>
      <c r="P141" t="inlineStr">
        <is>
          <t>Built and tested</t>
        </is>
      </c>
      <c r="Q141" t="inlineStr">
        <is>
          <t>Exceeds</t>
        </is>
      </c>
      <c r="R141" t="inlineStr">
        <is>
          <t>Inherited from FD-041</t>
        </is>
      </c>
      <c r="S141" t="inlineStr">
        <is>
          <t>Traced</t>
        </is>
      </c>
      <c r="U141" t="inlineStr">
        <is>
          <t>inherited</t>
        </is>
      </c>
      <c r="V141" t="inlineStr">
        <is>
          <t>Class basis: Inherited from FD-041 | Trace status: Traced to requirement</t>
        </is>
      </c>
    </row>
    <row r="142">
      <c r="A142" t="inlineStr">
        <is>
          <t>FD-139</t>
        </is>
      </c>
      <c r="B142" t="inlineStr">
        <is>
          <t>Capability</t>
        </is>
      </c>
      <c r="C142" t="inlineStr">
        <is>
          <t>FD-041</t>
        </is>
      </c>
      <c r="D142" t="inlineStr">
        <is>
          <t>A joining is confirmed once per application</t>
        </is>
      </c>
      <c r="E142" t="inlineStr">
        <is>
          <t>A joining is confirmed once per application.</t>
        </is>
      </c>
      <c r="F142" t="inlineStr">
        <is>
          <t>Hiring workflow</t>
        </is>
      </c>
      <c r="G142" t="inlineStr">
        <is>
          <t>Hiring manager</t>
        </is>
      </c>
      <c r="H142" t="inlineStr">
        <is>
          <t>Functional requirement</t>
        </is>
      </c>
      <c r="I142" t="inlineStr">
        <is>
          <t>FR-J14</t>
        </is>
      </c>
      <c r="J142" t="inlineStr">
        <is>
          <t>General</t>
        </is>
      </c>
      <c r="K142" t="inlineStr">
        <is>
          <t>DIFFERENTIATOR</t>
        </is>
      </c>
      <c r="L142" t="inlineStr">
        <is>
          <t>Inherited from parent feature</t>
        </is>
      </c>
      <c r="M142" t="inlineStr">
        <is>
          <t>Part of FD-041: Interviews, feedback, offers, joining</t>
        </is>
      </c>
      <c r="N142" t="inlineStr">
        <is>
          <t>Firm</t>
        </is>
      </c>
      <c r="O142" t="inlineStr">
        <is>
          <t>Known</t>
        </is>
      </c>
      <c r="P142" t="inlineStr">
        <is>
          <t>Built and tested</t>
        </is>
      </c>
      <c r="Q142" t="inlineStr">
        <is>
          <t>Exceeds</t>
        </is>
      </c>
      <c r="R142" t="inlineStr">
        <is>
          <t>Inherited from FD-041</t>
        </is>
      </c>
      <c r="S142" t="inlineStr">
        <is>
          <t>Traced</t>
        </is>
      </c>
      <c r="U142" t="inlineStr">
        <is>
          <t>inherited</t>
        </is>
      </c>
      <c r="V142" t="inlineStr">
        <is>
          <t>Class basis: Inherited from FD-041 | Trace status: Traced to requirement</t>
        </is>
      </c>
    </row>
    <row r="143">
      <c r="A143" t="inlineStr">
        <is>
          <t>FD-140</t>
        </is>
      </c>
      <c r="B143" t="inlineStr">
        <is>
          <t>Capability</t>
        </is>
      </c>
      <c r="C143" t="inlineStr">
        <is>
          <t>FD-045</t>
        </is>
      </c>
      <c r="D143" t="inlineStr">
        <is>
          <t>A requirement moves through draft, open, on hold, filled and closed, with every change kept</t>
        </is>
      </c>
      <c r="E143" t="inlineStr">
        <is>
          <t>A requirement moves through draft, open, on hold, filled and closed, with every change kept.</t>
        </is>
      </c>
      <c r="F143" t="inlineStr">
        <is>
          <t>Jobs</t>
        </is>
      </c>
      <c r="G143" t="inlineStr">
        <is>
          <t>Hiring manager</t>
        </is>
      </c>
      <c r="H143" t="inlineStr">
        <is>
          <t>Functional requirement</t>
        </is>
      </c>
      <c r="I143" t="inlineStr">
        <is>
          <t>FR-J04</t>
        </is>
      </c>
      <c r="J143" t="inlineStr">
        <is>
          <t>General</t>
        </is>
      </c>
      <c r="K143" t="inlineStr">
        <is>
          <t>SHOULD-HAVE</t>
        </is>
      </c>
      <c r="L143" t="inlineStr">
        <is>
          <t>Inherited from parent feature</t>
        </is>
      </c>
      <c r="M143" t="inlineStr">
        <is>
          <t>Part of FD-045: Job listing states</t>
        </is>
      </c>
      <c r="N143" t="inlineStr">
        <is>
          <t>Provisional</t>
        </is>
      </c>
      <c r="O143" t="inlineStr">
        <is>
          <t>Public</t>
        </is>
      </c>
      <c r="P143" t="inlineStr">
        <is>
          <t>Built and tested</t>
        </is>
      </c>
      <c r="Q143" t="inlineStr">
        <is>
          <t>Matches</t>
        </is>
      </c>
      <c r="R143" t="inlineStr">
        <is>
          <t>Inherited from FD-045</t>
        </is>
      </c>
      <c r="S143" t="inlineStr">
        <is>
          <t>Traced</t>
        </is>
      </c>
      <c r="U143" t="inlineStr">
        <is>
          <t>inherited</t>
        </is>
      </c>
      <c r="V143" t="inlineStr">
        <is>
          <t>Class basis: Inherited from FD-045 | Trace status: Traced to requirement</t>
        </is>
      </c>
    </row>
    <row r="144">
      <c r="A144" t="inlineStr">
        <is>
          <t>FD-141</t>
        </is>
      </c>
      <c r="B144" t="inlineStr">
        <is>
          <t>Capability</t>
        </is>
      </c>
      <c r="C144" t="inlineStr">
        <is>
          <t>FD-050</t>
        </is>
      </c>
      <c r="D144" t="inlineStr">
        <is>
          <t>Gig work lives in its own subsystem with time windows, price and one-way bids</t>
        </is>
      </c>
      <c r="E144" t="inlineStr">
        <is>
          <t>Gig work lives in its own subsystem with time windows, price and one-way bids.</t>
        </is>
      </c>
      <c r="F144" t="inlineStr">
        <is>
          <t>Gig</t>
        </is>
      </c>
      <c r="G144" t="inlineStr">
        <is>
          <t>Gig worker</t>
        </is>
      </c>
      <c r="H144" t="inlineStr">
        <is>
          <t>Functional requirement</t>
        </is>
      </c>
      <c r="I144" t="inlineStr">
        <is>
          <t>FR-X01</t>
        </is>
      </c>
      <c r="J144" t="inlineStr">
        <is>
          <t>Not observable</t>
        </is>
      </c>
      <c r="K144" t="inlineStr">
        <is>
          <t>DIFFERENTIATOR</t>
        </is>
      </c>
      <c r="L144" t="inlineStr">
        <is>
          <t>Inherited from parent feature</t>
        </is>
      </c>
      <c r="M144" t="inlineStr">
        <is>
          <t>Part of FD-050: Gig marketplace with windows, pricing, one-way bids, external fulfilment (LinkedIn has a Services marketplace, with no windows or bids)</t>
        </is>
      </c>
      <c r="N144" t="inlineStr">
        <is>
          <t>Declared</t>
        </is>
      </c>
      <c r="O144" t="inlineStr">
        <is>
          <t>Known</t>
        </is>
      </c>
      <c r="P144" t="inlineStr">
        <is>
          <t>Built</t>
        </is>
      </c>
      <c r="Q144" t="inlineStr">
        <is>
          <t>Exceeds</t>
        </is>
      </c>
      <c r="R144" t="inlineStr">
        <is>
          <t>Inherited from FD-050</t>
        </is>
      </c>
      <c r="S144" t="inlineStr">
        <is>
          <t>Traced</t>
        </is>
      </c>
      <c r="U144" t="inlineStr">
        <is>
          <t>inherited</t>
        </is>
      </c>
      <c r="V144" t="inlineStr">
        <is>
          <t>Class basis: Inherited from FD-050 | Confidence: Declared (not observable) | Trace status: Traced to requirement</t>
        </is>
      </c>
    </row>
    <row r="145">
      <c r="A145" t="inlineStr">
        <is>
          <t>FD-142</t>
        </is>
      </c>
      <c r="B145" t="inlineStr">
        <is>
          <t>Capability</t>
        </is>
      </c>
      <c r="C145" t="inlineStr">
        <is>
          <t>FD-050</t>
        </is>
      </c>
      <c r="D145" t="inlineStr">
        <is>
          <t>A gig worker has a profile with skills, a rate in a listed currency, and availability windows that cannot over...</t>
        </is>
      </c>
      <c r="E145" t="inlineStr">
        <is>
          <t>A gig worker has a profile with skills, a rate in a listed currency, and availability windows that cannot overlap.</t>
        </is>
      </c>
      <c r="F145" t="inlineStr">
        <is>
          <t>Gig</t>
        </is>
      </c>
      <c r="G145" t="inlineStr">
        <is>
          <t>Gig worker</t>
        </is>
      </c>
      <c r="H145" t="inlineStr">
        <is>
          <t>Functional requirement</t>
        </is>
      </c>
      <c r="I145" t="inlineStr">
        <is>
          <t>FR-G01</t>
        </is>
      </c>
      <c r="J145" t="inlineStr">
        <is>
          <t>Not observable</t>
        </is>
      </c>
      <c r="K145" t="inlineStr">
        <is>
          <t>DIFFERENTIATOR</t>
        </is>
      </c>
      <c r="L145" t="inlineStr">
        <is>
          <t>Inherited from parent feature</t>
        </is>
      </c>
      <c r="M145" t="inlineStr">
        <is>
          <t>Part of FD-050: Gig marketplace with windows, pricing, one-way bids, external fulfilment (LinkedIn has a Services marketplace, with no windows or bids)</t>
        </is>
      </c>
      <c r="N145" t="inlineStr">
        <is>
          <t>Declared</t>
        </is>
      </c>
      <c r="O145" t="inlineStr">
        <is>
          <t>Known</t>
        </is>
      </c>
      <c r="P145" t="inlineStr">
        <is>
          <t>Built and tested</t>
        </is>
      </c>
      <c r="Q145" t="inlineStr">
        <is>
          <t>Exceeds</t>
        </is>
      </c>
      <c r="R145" t="inlineStr">
        <is>
          <t>Inherited from FD-050</t>
        </is>
      </c>
      <c r="S145" t="inlineStr">
        <is>
          <t>Traced</t>
        </is>
      </c>
      <c r="U145" t="inlineStr">
        <is>
          <t>inherited</t>
        </is>
      </c>
      <c r="V145" t="inlineStr">
        <is>
          <t>Class basis: Inherited from FD-050 | Confidence: Declared (not observable) | Trace status: Traced to requirement</t>
        </is>
      </c>
    </row>
    <row r="146">
      <c r="A146" t="inlineStr">
        <is>
          <t>FD-143</t>
        </is>
      </c>
      <c r="B146" t="inlineStr">
        <is>
          <t>Capability</t>
        </is>
      </c>
      <c r="C146" t="inlineStr">
        <is>
          <t>FD-050</t>
        </is>
      </c>
      <c r="D146" t="inlineStr">
        <is>
          <t>A gig request has a window, a place or remote work, a price with currency and a headcount, and the skills it n...</t>
        </is>
      </c>
      <c r="E146" t="inlineStr">
        <is>
          <t>A gig request has a window, a place or remote work, a price with currency and a headcount, and the skills it needs.</t>
        </is>
      </c>
      <c r="F146" t="inlineStr">
        <is>
          <t>Gig</t>
        </is>
      </c>
      <c r="G146" t="inlineStr">
        <is>
          <t>Gig worker</t>
        </is>
      </c>
      <c r="H146" t="inlineStr">
        <is>
          <t>Functional requirement</t>
        </is>
      </c>
      <c r="I146" t="inlineStr">
        <is>
          <t>FR-G02</t>
        </is>
      </c>
      <c r="J146" t="inlineStr">
        <is>
          <t>Not observable</t>
        </is>
      </c>
      <c r="K146" t="inlineStr">
        <is>
          <t>DIFFERENTIATOR</t>
        </is>
      </c>
      <c r="L146" t="inlineStr">
        <is>
          <t>Inherited from parent feature</t>
        </is>
      </c>
      <c r="M146" t="inlineStr">
        <is>
          <t>Part of FD-050: Gig marketplace with windows, pricing, one-way bids, external fulfilment (LinkedIn has a Services marketplace, with no windows or bids)</t>
        </is>
      </c>
      <c r="N146" t="inlineStr">
        <is>
          <t>Declared</t>
        </is>
      </c>
      <c r="O146" t="inlineStr">
        <is>
          <t>Known</t>
        </is>
      </c>
      <c r="P146" t="inlineStr">
        <is>
          <t>Built and tested</t>
        </is>
      </c>
      <c r="Q146" t="inlineStr">
        <is>
          <t>Exceeds</t>
        </is>
      </c>
      <c r="R146" t="inlineStr">
        <is>
          <t>Inherited from FD-050</t>
        </is>
      </c>
      <c r="S146" t="inlineStr">
        <is>
          <t>Traced</t>
        </is>
      </c>
      <c r="U146" t="inlineStr">
        <is>
          <t>inherited</t>
        </is>
      </c>
      <c r="V146" t="inlineStr">
        <is>
          <t>Class basis: Inherited from FD-050 | Confidence: Declared (not observable) | Trace status: Traced to requirement</t>
        </is>
      </c>
    </row>
    <row r="147">
      <c r="A147" t="inlineStr">
        <is>
          <t>FD-144</t>
        </is>
      </c>
      <c r="B147" t="inlineStr">
        <is>
          <t>Capability</t>
        </is>
      </c>
      <c r="C147" t="inlineStr">
        <is>
          <t>FD-050</t>
        </is>
      </c>
      <c r="D147" t="inlineStr">
        <is>
          <t>A worker bids once on a request</t>
        </is>
      </c>
      <c r="E147" t="inlineStr">
        <is>
          <t>A worker bids once on a request; bids go one way, worker to request.</t>
        </is>
      </c>
      <c r="F147" t="inlineStr">
        <is>
          <t>Gig</t>
        </is>
      </c>
      <c r="G147" t="inlineStr">
        <is>
          <t>Gig worker</t>
        </is>
      </c>
      <c r="H147" t="inlineStr">
        <is>
          <t>Functional requirement</t>
        </is>
      </c>
      <c r="I147" t="inlineStr">
        <is>
          <t>FR-G03</t>
        </is>
      </c>
      <c r="J147" t="inlineStr">
        <is>
          <t>Not observable</t>
        </is>
      </c>
      <c r="K147" t="inlineStr">
        <is>
          <t>DIFFERENTIATOR</t>
        </is>
      </c>
      <c r="L147" t="inlineStr">
        <is>
          <t>Inherited from parent feature</t>
        </is>
      </c>
      <c r="M147" t="inlineStr">
        <is>
          <t>Part of FD-050: Gig marketplace with windows, pricing, one-way bids, external fulfilment (LinkedIn has a Services marketplace, with no windows or bids)</t>
        </is>
      </c>
      <c r="N147" t="inlineStr">
        <is>
          <t>Declared</t>
        </is>
      </c>
      <c r="O147" t="inlineStr">
        <is>
          <t>Known</t>
        </is>
      </c>
      <c r="P147" t="inlineStr">
        <is>
          <t>Built and tested</t>
        </is>
      </c>
      <c r="Q147" t="inlineStr">
        <is>
          <t>Exceeds</t>
        </is>
      </c>
      <c r="R147" t="inlineStr">
        <is>
          <t>Inherited from FD-050</t>
        </is>
      </c>
      <c r="S147" t="inlineStr">
        <is>
          <t>Traced</t>
        </is>
      </c>
      <c r="U147" t="inlineStr">
        <is>
          <t>inherited</t>
        </is>
      </c>
      <c r="V147" t="inlineStr">
        <is>
          <t>Class basis: Inherited from FD-050 | Confidence: Declared (not observable) | Trace status: Traced to requirement</t>
        </is>
      </c>
    </row>
    <row r="148">
      <c r="A148" t="inlineStr">
        <is>
          <t>FD-145</t>
        </is>
      </c>
      <c r="B148" t="inlineStr">
        <is>
          <t>Capability</t>
        </is>
      </c>
      <c r="C148" t="inlineStr">
        <is>
          <t>FD-050</t>
        </is>
      </c>
      <c r="D148" t="inlineStr">
        <is>
          <t>An assignment lies inside its request window and cannot exceed the headcount, even when two are made at once</t>
        </is>
      </c>
      <c r="E148" t="inlineStr">
        <is>
          <t>An assignment lies inside its request window and cannot exceed the headcount, even when two are made at once.</t>
        </is>
      </c>
      <c r="F148" t="inlineStr">
        <is>
          <t>Gig</t>
        </is>
      </c>
      <c r="G148" t="inlineStr">
        <is>
          <t>Gig worker</t>
        </is>
      </c>
      <c r="H148" t="inlineStr">
        <is>
          <t>Functional requirement</t>
        </is>
      </c>
      <c r="I148" t="inlineStr">
        <is>
          <t>FR-G05</t>
        </is>
      </c>
      <c r="J148" t="inlineStr">
        <is>
          <t>Not observable</t>
        </is>
      </c>
      <c r="K148" t="inlineStr">
        <is>
          <t>DIFFERENTIATOR</t>
        </is>
      </c>
      <c r="L148" t="inlineStr">
        <is>
          <t>Inherited from parent feature</t>
        </is>
      </c>
      <c r="M148" t="inlineStr">
        <is>
          <t>Part of FD-050: Gig marketplace with windows, pricing, one-way bids, external fulfilment (LinkedIn has a Services marketplace, with no windows or bids)</t>
        </is>
      </c>
      <c r="N148" t="inlineStr">
        <is>
          <t>Declared</t>
        </is>
      </c>
      <c r="O148" t="inlineStr">
        <is>
          <t>Known</t>
        </is>
      </c>
      <c r="P148" t="inlineStr">
        <is>
          <t>Built and tested</t>
        </is>
      </c>
      <c r="Q148" t="inlineStr">
        <is>
          <t>Exceeds</t>
        </is>
      </c>
      <c r="R148" t="inlineStr">
        <is>
          <t>Inherited from FD-050</t>
        </is>
      </c>
      <c r="S148" t="inlineStr">
        <is>
          <t>Traced</t>
        </is>
      </c>
      <c r="U148" t="inlineStr">
        <is>
          <t>inherited</t>
        </is>
      </c>
      <c r="V148" t="inlineStr">
        <is>
          <t>Class basis: Inherited from FD-050 | Confidence: Declared (not observable) | Trace status: Traced to requirement</t>
        </is>
      </c>
    </row>
    <row r="149">
      <c r="A149" t="inlineStr">
        <is>
          <t>FD-146</t>
        </is>
      </c>
      <c r="B149" t="inlineStr">
        <is>
          <t>Capability</t>
        </is>
      </c>
      <c r="C149" t="inlineStr">
        <is>
          <t>FD-050</t>
        </is>
      </c>
      <c r="D149" t="inlineStr">
        <is>
          <t>The outside fulfilment system's reference, last reported status and reconciled earnings are stored, never the ...</t>
        </is>
      </c>
      <c r="E149" t="inlineStr">
        <is>
          <t>The outside fulfilment system's reference, last reported status and reconciled earnings are stored, never the work itself.</t>
        </is>
      </c>
      <c r="F149" t="inlineStr">
        <is>
          <t>Gig</t>
        </is>
      </c>
      <c r="G149" t="inlineStr">
        <is>
          <t>Gig worker</t>
        </is>
      </c>
      <c r="H149" t="inlineStr">
        <is>
          <t>Functional requirement</t>
        </is>
      </c>
      <c r="I149" t="inlineStr">
        <is>
          <t>FR-G07</t>
        </is>
      </c>
      <c r="J149" t="inlineStr">
        <is>
          <t>Not observable</t>
        </is>
      </c>
      <c r="K149" t="inlineStr">
        <is>
          <t>DIFFERENTIATOR</t>
        </is>
      </c>
      <c r="L149" t="inlineStr">
        <is>
          <t>Inherited from parent feature</t>
        </is>
      </c>
      <c r="M149" t="inlineStr">
        <is>
          <t>Part of FD-050: Gig marketplace with windows, pricing, one-way bids, external fulfilment (LinkedIn has a Services marketplace, with no windows or bids)</t>
        </is>
      </c>
      <c r="N149" t="inlineStr">
        <is>
          <t>Declared</t>
        </is>
      </c>
      <c r="O149" t="inlineStr">
        <is>
          <t>Known</t>
        </is>
      </c>
      <c r="P149" t="inlineStr">
        <is>
          <t>Built and tested</t>
        </is>
      </c>
      <c r="Q149" t="inlineStr">
        <is>
          <t>Exceeds</t>
        </is>
      </c>
      <c r="R149" t="inlineStr">
        <is>
          <t>Inherited from FD-050</t>
        </is>
      </c>
      <c r="S149" t="inlineStr">
        <is>
          <t>Traced</t>
        </is>
      </c>
      <c r="U149" t="inlineStr">
        <is>
          <t>inherited</t>
        </is>
      </c>
      <c r="V149" t="inlineStr">
        <is>
          <t>Class basis: Inherited from FD-050 | Confidence: Declared (not observable) | Trace status: Traced to requirement</t>
        </is>
      </c>
    </row>
    <row r="150">
      <c r="A150" t="inlineStr">
        <is>
          <t>FD-147</t>
        </is>
      </c>
      <c r="B150" t="inlineStr">
        <is>
          <t>Capability</t>
        </is>
      </c>
      <c r="C150" t="inlineStr">
        <is>
          <t>FD-050</t>
        </is>
      </c>
      <c r="D150" t="inlineStr">
        <is>
          <t>The worker and the requester of an assignment can rate each other once, and ratings are append-only</t>
        </is>
      </c>
      <c r="E150" t="inlineStr">
        <is>
          <t>The worker and the requester of an assignment can rate each other once, and ratings are append-only.</t>
        </is>
      </c>
      <c r="F150" t="inlineStr">
        <is>
          <t>Gig</t>
        </is>
      </c>
      <c r="G150" t="inlineStr">
        <is>
          <t>Gig worker</t>
        </is>
      </c>
      <c r="H150" t="inlineStr">
        <is>
          <t>Functional requirement</t>
        </is>
      </c>
      <c r="I150" t="inlineStr">
        <is>
          <t>FR-G08</t>
        </is>
      </c>
      <c r="J150" t="inlineStr">
        <is>
          <t>Not observable</t>
        </is>
      </c>
      <c r="K150" t="inlineStr">
        <is>
          <t>DIFFERENTIATOR</t>
        </is>
      </c>
      <c r="L150" t="inlineStr">
        <is>
          <t>Inherited from parent feature</t>
        </is>
      </c>
      <c r="M150" t="inlineStr">
        <is>
          <t>Part of FD-050: Gig marketplace with windows, pricing, one-way bids, external fulfilment (LinkedIn has a Services marketplace, with no windows or bids)</t>
        </is>
      </c>
      <c r="N150" t="inlineStr">
        <is>
          <t>Declared</t>
        </is>
      </c>
      <c r="O150" t="inlineStr">
        <is>
          <t>Known</t>
        </is>
      </c>
      <c r="P150" t="inlineStr">
        <is>
          <t>Built and tested</t>
        </is>
      </c>
      <c r="Q150" t="inlineStr">
        <is>
          <t>Exceeds</t>
        </is>
      </c>
      <c r="R150" t="inlineStr">
        <is>
          <t>Inherited from FD-050</t>
        </is>
      </c>
      <c r="S150" t="inlineStr">
        <is>
          <t>Traced</t>
        </is>
      </c>
      <c r="U150" t="inlineStr">
        <is>
          <t>inherited</t>
        </is>
      </c>
      <c r="V150" t="inlineStr">
        <is>
          <t>Class basis: Inherited from FD-050 | Confidence: Declared (not observable) | Trace status: Traced to requirement</t>
        </is>
      </c>
    </row>
    <row r="151">
      <c r="A151" t="inlineStr">
        <is>
          <t>FD-148</t>
        </is>
      </c>
      <c r="B151" t="inlineStr">
        <is>
          <t>Capability</t>
        </is>
      </c>
      <c r="C151" t="inlineStr">
        <is>
          <t>FD-050</t>
        </is>
      </c>
      <c r="D151" t="inlineStr">
        <is>
          <t>A requester keeps lists of workers, such as favourites</t>
        </is>
      </c>
      <c r="E151" t="inlineStr">
        <is>
          <t>A requester keeps lists of workers, such as favourites.</t>
        </is>
      </c>
      <c r="F151" t="inlineStr">
        <is>
          <t>Gig</t>
        </is>
      </c>
      <c r="G151" t="inlineStr">
        <is>
          <t>Gig worker</t>
        </is>
      </c>
      <c r="H151" t="inlineStr">
        <is>
          <t>Functional requirement</t>
        </is>
      </c>
      <c r="I151" t="inlineStr">
        <is>
          <t>FR-G09</t>
        </is>
      </c>
      <c r="J151" t="inlineStr">
        <is>
          <t>Not observable</t>
        </is>
      </c>
      <c r="K151" t="inlineStr">
        <is>
          <t>DIFFERENTIATOR</t>
        </is>
      </c>
      <c r="L151" t="inlineStr">
        <is>
          <t>Inherited from parent feature</t>
        </is>
      </c>
      <c r="M151" t="inlineStr">
        <is>
          <t>Part of FD-050: Gig marketplace with windows, pricing, one-way bids, external fulfilment (LinkedIn has a Services marketplace, with no windows or bids)</t>
        </is>
      </c>
      <c r="N151" t="inlineStr">
        <is>
          <t>Declared</t>
        </is>
      </c>
      <c r="O151" t="inlineStr">
        <is>
          <t>Known</t>
        </is>
      </c>
      <c r="P151" t="inlineStr">
        <is>
          <t>Built and tested</t>
        </is>
      </c>
      <c r="Q151" t="inlineStr">
        <is>
          <t>Exceeds</t>
        </is>
      </c>
      <c r="R151" t="inlineStr">
        <is>
          <t>Inherited from FD-050</t>
        </is>
      </c>
      <c r="S151" t="inlineStr">
        <is>
          <t>Traced</t>
        </is>
      </c>
      <c r="U151" t="inlineStr">
        <is>
          <t>inherited</t>
        </is>
      </c>
      <c r="V151" t="inlineStr">
        <is>
          <t>Class basis: Inherited from FD-050 | Confidence: Declared (not observable) | Trace status: Traced to requirement</t>
        </is>
      </c>
    </row>
    <row r="152">
      <c r="A152" t="inlineStr">
        <is>
          <t>FD-149</t>
        </is>
      </c>
      <c r="B152" t="inlineStr">
        <is>
          <t>Capability</t>
        </is>
      </c>
      <c r="C152" t="inlineStr">
        <is>
          <t>FD-051</t>
        </is>
      </c>
      <c r="D152" t="inlineStr">
        <is>
          <t>A consultant works a job only through a request, and only for a job that is open, not deleted and open to cons...</t>
        </is>
      </c>
      <c r="E152" t="inlineStr">
        <is>
          <t>A consultant works a job only through a request, and only for a job that is open, not deleted and open to consultants; the consultant must be an active account that does not belong to the hiring side. One live request per job and consultant.</t>
        </is>
      </c>
      <c r="F152" t="inlineStr">
        <is>
          <t>Consultants and sourcing</t>
        </is>
      </c>
      <c r="G152" t="inlineStr">
        <is>
          <t>Consultant</t>
        </is>
      </c>
      <c r="H152" t="inlineStr">
        <is>
          <t>Functional requirement</t>
        </is>
      </c>
      <c r="I152" t="inlineStr">
        <is>
          <t>FR-C01</t>
        </is>
      </c>
      <c r="J152" t="inlineStr">
        <is>
          <t>Not observable</t>
        </is>
      </c>
      <c r="K152" t="inlineStr">
        <is>
          <t>MUST-HAVE</t>
        </is>
      </c>
      <c r="L152" t="inlineStr">
        <is>
          <t>Inherited from parent feature</t>
        </is>
      </c>
      <c r="M152" t="inlineStr">
        <is>
          <t>Part of FD-051: Consultant marketplace: freelance recruiters source for jobs open to consultants</t>
        </is>
      </c>
      <c r="N152" t="inlineStr">
        <is>
          <t>Declared</t>
        </is>
      </c>
      <c r="O152" t="inlineStr">
        <is>
          <t>Known</t>
        </is>
      </c>
      <c r="P152" t="inlineStr">
        <is>
          <t>Built and tested</t>
        </is>
      </c>
      <c r="Q152" t="inlineStr">
        <is>
          <t>Exceeds</t>
        </is>
      </c>
      <c r="R152" t="inlineStr">
        <is>
          <t>Inherited from FD-051</t>
        </is>
      </c>
      <c r="S152" t="inlineStr">
        <is>
          <t>Traced</t>
        </is>
      </c>
      <c r="U152" t="inlineStr">
        <is>
          <t>inherited</t>
        </is>
      </c>
      <c r="V152" t="inlineStr">
        <is>
          <t>Class basis: Inherited from FD-051 | Confidence: Declared (not observable) | Trace status: Traced to requirement</t>
        </is>
      </c>
    </row>
    <row r="153">
      <c r="A153" t="inlineStr">
        <is>
          <t>FD-150</t>
        </is>
      </c>
      <c r="B153" t="inlineStr">
        <is>
          <t>Capability</t>
        </is>
      </c>
      <c r="C153" t="inlineStr">
        <is>
          <t>FD-051</t>
        </is>
      </c>
      <c r="D153" t="inlineStr">
        <is>
          <t>A request states the fee asked (a percentage of the first-year salary, or a fixed amount in a listed currency)</t>
        </is>
      </c>
      <c r="E153" t="inlineStr">
        <is>
          <t>A request states the fee asked (a percentage of the first-year salary, or a fixed amount in a listed currency); the terms can change while it waits and are frozen at the decision.</t>
        </is>
      </c>
      <c r="F153" t="inlineStr">
        <is>
          <t>Consultants and sourcing</t>
        </is>
      </c>
      <c r="G153" t="inlineStr">
        <is>
          <t>Consultant</t>
        </is>
      </c>
      <c r="H153" t="inlineStr">
        <is>
          <t>Functional requirement</t>
        </is>
      </c>
      <c r="I153" t="inlineStr">
        <is>
          <t>FR-C02</t>
        </is>
      </c>
      <c r="J153" t="inlineStr">
        <is>
          <t>Not observable</t>
        </is>
      </c>
      <c r="K153" t="inlineStr">
        <is>
          <t>MUST-HAVE</t>
        </is>
      </c>
      <c r="L153" t="inlineStr">
        <is>
          <t>Inherited from parent feature</t>
        </is>
      </c>
      <c r="M153" t="inlineStr">
        <is>
          <t>Part of FD-051: Consultant marketplace: freelance recruiters source for jobs open to consultants</t>
        </is>
      </c>
      <c r="N153" t="inlineStr">
        <is>
          <t>Declared</t>
        </is>
      </c>
      <c r="O153" t="inlineStr">
        <is>
          <t>Known</t>
        </is>
      </c>
      <c r="P153" t="inlineStr">
        <is>
          <t>Built and tested</t>
        </is>
      </c>
      <c r="Q153" t="inlineStr">
        <is>
          <t>Exceeds</t>
        </is>
      </c>
      <c r="R153" t="inlineStr">
        <is>
          <t>Inherited from FD-051</t>
        </is>
      </c>
      <c r="S153" t="inlineStr">
        <is>
          <t>Traced</t>
        </is>
      </c>
      <c r="U153" t="inlineStr">
        <is>
          <t>inherited</t>
        </is>
      </c>
      <c r="V153" t="inlineStr">
        <is>
          <t>Class basis: Inherited from FD-051 | Confidence: Declared (not observable) | Trace status: Traced to requirement</t>
        </is>
      </c>
    </row>
    <row r="154">
      <c r="A154" t="inlineStr">
        <is>
          <t>FD-151</t>
        </is>
      </c>
      <c r="B154" t="inlineStr">
        <is>
          <t>Capability</t>
        </is>
      </c>
      <c r="C154" t="inlineStr">
        <is>
          <t>FD-051</t>
        </is>
      </c>
      <c r="D154" t="inlineStr">
        <is>
          <t>Only a member of the hiring organisation or of the agency that posts the job, and not the consultant, decides ...</t>
        </is>
      </c>
      <c r="E154" t="inlineStr">
        <is>
          <t>Only a member of the hiring organisation or of the agency that posts the job, and not the consultant, decides a request; approval needs the job still open to consultants; approve and reject are audited.</t>
        </is>
      </c>
      <c r="F154" t="inlineStr">
        <is>
          <t>Consultants and sourcing</t>
        </is>
      </c>
      <c r="G154" t="inlineStr">
        <is>
          <t>Consultant</t>
        </is>
      </c>
      <c r="H154" t="inlineStr">
        <is>
          <t>Functional requirement</t>
        </is>
      </c>
      <c r="I154" t="inlineStr">
        <is>
          <t>FR-C04</t>
        </is>
      </c>
      <c r="J154" t="inlineStr">
        <is>
          <t>Not observable</t>
        </is>
      </c>
      <c r="K154" t="inlineStr">
        <is>
          <t>MUST-HAVE</t>
        </is>
      </c>
      <c r="L154" t="inlineStr">
        <is>
          <t>Inherited from parent feature</t>
        </is>
      </c>
      <c r="M154" t="inlineStr">
        <is>
          <t>Part of FD-051: Consultant marketplace: freelance recruiters source for jobs open to consultants</t>
        </is>
      </c>
      <c r="N154" t="inlineStr">
        <is>
          <t>Declared</t>
        </is>
      </c>
      <c r="O154" t="inlineStr">
        <is>
          <t>Known</t>
        </is>
      </c>
      <c r="P154" t="inlineStr">
        <is>
          <t>Built and tested</t>
        </is>
      </c>
      <c r="Q154" t="inlineStr">
        <is>
          <t>Exceeds</t>
        </is>
      </c>
      <c r="R154" t="inlineStr">
        <is>
          <t>Inherited from FD-051</t>
        </is>
      </c>
      <c r="S154" t="inlineStr">
        <is>
          <t>Traced</t>
        </is>
      </c>
      <c r="U154" t="inlineStr">
        <is>
          <t>inherited</t>
        </is>
      </c>
      <c r="V154" t="inlineStr">
        <is>
          <t>Class basis: Inherited from FD-051 | Confidence: Declared (not observable) | Trace status: Traced to requirement</t>
        </is>
      </c>
    </row>
    <row r="155">
      <c r="A155" t="inlineStr">
        <is>
          <t>FD-152</t>
        </is>
      </c>
      <c r="B155" t="inlineStr">
        <is>
          <t>Capability</t>
        </is>
      </c>
      <c r="C155" t="inlineStr">
        <is>
          <t>FD-051</t>
        </is>
      </c>
      <c r="D155" t="inlineStr">
        <is>
          <t>A request that nobody answers can lapse, and a function moves it to expired with a history row</t>
        </is>
      </c>
      <c r="E155" t="inlineStr">
        <is>
          <t>A request that nobody answers can lapse, and a function moves it to expired with a history row.</t>
        </is>
      </c>
      <c r="F155" t="inlineStr">
        <is>
          <t>Consultants and sourcing</t>
        </is>
      </c>
      <c r="G155" t="inlineStr">
        <is>
          <t>Consultant</t>
        </is>
      </c>
      <c r="H155" t="inlineStr">
        <is>
          <t>Functional requirement</t>
        </is>
      </c>
      <c r="I155" t="inlineStr">
        <is>
          <t>FR-C05</t>
        </is>
      </c>
      <c r="J155" t="inlineStr">
        <is>
          <t>Not observable</t>
        </is>
      </c>
      <c r="K155" t="inlineStr">
        <is>
          <t>MUST-HAVE</t>
        </is>
      </c>
      <c r="L155" t="inlineStr">
        <is>
          <t>Inherited from parent feature</t>
        </is>
      </c>
      <c r="M155" t="inlineStr">
        <is>
          <t>Part of FD-051: Consultant marketplace: freelance recruiters source for jobs open to consultants</t>
        </is>
      </c>
      <c r="N155" t="inlineStr">
        <is>
          <t>Declared</t>
        </is>
      </c>
      <c r="O155" t="inlineStr">
        <is>
          <t>Known</t>
        </is>
      </c>
      <c r="P155" t="inlineStr">
        <is>
          <t>Built and tested</t>
        </is>
      </c>
      <c r="Q155" t="inlineStr">
        <is>
          <t>Exceeds</t>
        </is>
      </c>
      <c r="R155" t="inlineStr">
        <is>
          <t>Inherited from FD-051</t>
        </is>
      </c>
      <c r="S155" t="inlineStr">
        <is>
          <t>Traced</t>
        </is>
      </c>
      <c r="U155" t="inlineStr">
        <is>
          <t>inherited</t>
        </is>
      </c>
      <c r="V155" t="inlineStr">
        <is>
          <t>Class basis: Inherited from FD-051 | Confidence: Declared (not observable) | Trace status: Traced to requirement</t>
        </is>
      </c>
    </row>
    <row r="156">
      <c r="A156" t="inlineStr">
        <is>
          <t>FD-153</t>
        </is>
      </c>
      <c r="B156" t="inlineStr">
        <is>
          <t>Capability</t>
        </is>
      </c>
      <c r="C156" t="inlineStr">
        <is>
          <t>FD-051</t>
        </is>
      </c>
      <c r="D156" t="inlineStr">
        <is>
          <t>A consultant submits a candidate only on an approved, live request, for the job of the request, through an app...</t>
        </is>
      </c>
      <c r="E156" t="inlineStr">
        <is>
          <t>A consultant submits a candidate only on an approved, live request, for the job of the request, through an application marked as from a consultant that names this consultant; blocked and erased candidates are refused; an application from a consultant always has a submission.</t>
        </is>
      </c>
      <c r="F156" t="inlineStr">
        <is>
          <t>Consultants and sourcing</t>
        </is>
      </c>
      <c r="G156" t="inlineStr">
        <is>
          <t>Consultant</t>
        </is>
      </c>
      <c r="H156" t="inlineStr">
        <is>
          <t>Functional requirement</t>
        </is>
      </c>
      <c r="I156" t="inlineStr">
        <is>
          <t>FR-C06</t>
        </is>
      </c>
      <c r="J156" t="inlineStr">
        <is>
          <t>Not observable</t>
        </is>
      </c>
      <c r="K156" t="inlineStr">
        <is>
          <t>MUST-HAVE</t>
        </is>
      </c>
      <c r="L156" t="inlineStr">
        <is>
          <t>Inherited from parent feature</t>
        </is>
      </c>
      <c r="M156" t="inlineStr">
        <is>
          <t>Part of FD-051: Consultant marketplace: freelance recruiters source for jobs open to consultants</t>
        </is>
      </c>
      <c r="N156" t="inlineStr">
        <is>
          <t>Declared</t>
        </is>
      </c>
      <c r="O156" t="inlineStr">
        <is>
          <t>Known</t>
        </is>
      </c>
      <c r="P156" t="inlineStr">
        <is>
          <t>Built and tested</t>
        </is>
      </c>
      <c r="Q156" t="inlineStr">
        <is>
          <t>Exceeds</t>
        </is>
      </c>
      <c r="R156" t="inlineStr">
        <is>
          <t>Inherited from FD-051</t>
        </is>
      </c>
      <c r="S156" t="inlineStr">
        <is>
          <t>Traced</t>
        </is>
      </c>
      <c r="U156" t="inlineStr">
        <is>
          <t>inherited</t>
        </is>
      </c>
      <c r="V156" t="inlineStr">
        <is>
          <t>Class basis: Inherited from FD-051 | Confidence: Declared (not observable) | Trace status: Traced to requirement</t>
        </is>
      </c>
    </row>
    <row r="157">
      <c r="A157" t="inlineStr">
        <is>
          <t>FD-154</t>
        </is>
      </c>
      <c r="B157" t="inlineStr">
        <is>
          <t>Capability</t>
        </is>
      </c>
      <c r="C157" t="inlineStr">
        <is>
          <t>FD-065</t>
        </is>
      </c>
      <c r="D157" t="inlineStr">
        <is>
          <t>The same sender cannot contact the same candidate on the same channel more than once in 168 hours, also under ...</t>
        </is>
      </c>
      <c r="E157" t="inlineStr">
        <is>
          <t>The same sender cannot contact the same candidate on the same channel more than once in 168 hours, also under parallel writes.</t>
        </is>
      </c>
      <c r="F157" t="inlineStr">
        <is>
          <t>Consultants and sourcing</t>
        </is>
      </c>
      <c r="G157" t="inlineStr">
        <is>
          <t>Recruiter</t>
        </is>
      </c>
      <c r="H157" t="inlineStr">
        <is>
          <t>Functional requirement</t>
        </is>
      </c>
      <c r="I157" t="inlineStr">
        <is>
          <t>FR-C08</t>
        </is>
      </c>
      <c r="J157" t="inlineStr">
        <is>
          <t>General</t>
        </is>
      </c>
      <c r="K157" t="inlineStr">
        <is>
          <t>SHOULD-HAVE</t>
        </is>
      </c>
      <c r="L157" t="inlineStr">
        <is>
          <t>Inherited from parent feature</t>
        </is>
      </c>
      <c r="M157" t="inlineStr">
        <is>
          <t>Part of FD-065: Outreach limit per candidate</t>
        </is>
      </c>
      <c r="N157" t="inlineStr">
        <is>
          <t>Provisional</t>
        </is>
      </c>
      <c r="O157" t="inlineStr">
        <is>
          <t>Search summary only</t>
        </is>
      </c>
      <c r="P157" t="inlineStr">
        <is>
          <t>Built and tested</t>
        </is>
      </c>
      <c r="Q157" t="inlineStr">
        <is>
          <t>Matches</t>
        </is>
      </c>
      <c r="R157" t="inlineStr">
        <is>
          <t>Inherited from FD-065</t>
        </is>
      </c>
      <c r="S157" t="inlineStr">
        <is>
          <t>Traced</t>
        </is>
      </c>
      <c r="U157" t="inlineStr">
        <is>
          <t>inherited</t>
        </is>
      </c>
      <c r="V157" t="inlineStr">
        <is>
          <t>Class basis: Inherited from FD-065 | Trace status: Traced to requirement</t>
        </is>
      </c>
    </row>
    <row r="158">
      <c r="A158" t="inlineStr">
        <is>
          <t>FD-155</t>
        </is>
      </c>
      <c r="B158" t="inlineStr">
        <is>
          <t>Capability</t>
        </is>
      </c>
      <c r="C158" t="inlineStr">
        <is>
          <t>FD-066</t>
        </is>
      </c>
      <c r="D158" t="inlineStr">
        <is>
          <t>Before a message is queued the database checks that the person can receive, has not blocked the person who cau...</t>
        </is>
      </c>
      <c r="E158" t="inlineStr">
        <is>
          <t>Before a message is queued the database checks that the person can receive, has not blocked the person who caused the event, has no suppressed address, has not switched the topic off, has given a required consent and is under the daily cap; a refused message is logged with its reason.</t>
        </is>
      </c>
      <c r="F158" t="inlineStr">
        <is>
          <t>Notifications and community</t>
        </is>
      </c>
      <c r="G158" t="inlineStr">
        <is>
          <t>Candidate</t>
        </is>
      </c>
      <c r="H158" t="inlineStr">
        <is>
          <t>Functional requirement</t>
        </is>
      </c>
      <c r="I158" t="inlineStr">
        <is>
          <t>FR-N02</t>
        </is>
      </c>
      <c r="J158" t="inlineStr">
        <is>
          <t>General</t>
        </is>
      </c>
      <c r="K158" t="inlineStr">
        <is>
          <t>MUST-HAVE</t>
        </is>
      </c>
      <c r="L158" t="inlineStr">
        <is>
          <t>Inherited from parent feature</t>
        </is>
      </c>
      <c r="M158" t="inlineStr">
        <is>
          <t>Part of FD-066: Notification preferences and delivery controls</t>
        </is>
      </c>
      <c r="N158" t="inlineStr">
        <is>
          <t>Firm</t>
        </is>
      </c>
      <c r="O158" t="inlineStr">
        <is>
          <t>Gap table</t>
        </is>
      </c>
      <c r="P158" t="inlineStr">
        <is>
          <t>Built and tested</t>
        </is>
      </c>
      <c r="Q158" t="inlineStr">
        <is>
          <t>Matches</t>
        </is>
      </c>
      <c r="R158" t="inlineStr">
        <is>
          <t>Inherited from FD-066</t>
        </is>
      </c>
      <c r="S158" t="inlineStr">
        <is>
          <t>Traced</t>
        </is>
      </c>
      <c r="U158" t="inlineStr">
        <is>
          <t>inherited</t>
        </is>
      </c>
      <c r="V158" t="inlineStr">
        <is>
          <t>Class basis: Inherited from FD-066 | Evidence status: Gap table (evidence not marked per row) | Trace status: Traced to requirement</t>
        </is>
      </c>
    </row>
    <row r="159">
      <c r="A159" t="inlineStr">
        <is>
          <t>FD-156</t>
        </is>
      </c>
      <c r="B159" t="inlineStr">
        <is>
          <t>Capability</t>
        </is>
      </c>
      <c r="C159" t="inlineStr">
        <is>
          <t>FD-066</t>
        </is>
      </c>
      <c r="D159" t="inlineStr">
        <is>
          <t>A person sets preferences by topic and channel, quiet hours and a daily cap</t>
        </is>
      </c>
      <c r="E159" t="inlineStr">
        <is>
          <t>A person sets preferences by topic and channel, quiet hours and a daily cap; a mandatory topic (security alerts) cannot be switched off and ignores preferences, quiet hours and the cap.</t>
        </is>
      </c>
      <c r="F159" t="inlineStr">
        <is>
          <t>Notifications and community</t>
        </is>
      </c>
      <c r="G159" t="inlineStr">
        <is>
          <t>Candidate</t>
        </is>
      </c>
      <c r="H159" t="inlineStr">
        <is>
          <t>Functional requirement</t>
        </is>
      </c>
      <c r="I159" t="inlineStr">
        <is>
          <t>FR-N03</t>
        </is>
      </c>
      <c r="J159" t="inlineStr">
        <is>
          <t>General</t>
        </is>
      </c>
      <c r="K159" t="inlineStr">
        <is>
          <t>MUST-HAVE</t>
        </is>
      </c>
      <c r="L159" t="inlineStr">
        <is>
          <t>Inherited from parent feature</t>
        </is>
      </c>
      <c r="M159" t="inlineStr">
        <is>
          <t>Part of FD-066: Notification preferences and delivery controls</t>
        </is>
      </c>
      <c r="N159" t="inlineStr">
        <is>
          <t>Firm</t>
        </is>
      </c>
      <c r="O159" t="inlineStr">
        <is>
          <t>Gap table</t>
        </is>
      </c>
      <c r="P159" t="inlineStr">
        <is>
          <t>Built and tested</t>
        </is>
      </c>
      <c r="Q159" t="inlineStr">
        <is>
          <t>Matches</t>
        </is>
      </c>
      <c r="R159" t="inlineStr">
        <is>
          <t>Inherited from FD-066</t>
        </is>
      </c>
      <c r="S159" t="inlineStr">
        <is>
          <t>Traced</t>
        </is>
      </c>
      <c r="U159" t="inlineStr">
        <is>
          <t>inherited</t>
        </is>
      </c>
      <c r="V159" t="inlineStr">
        <is>
          <t>Class basis: Inherited from FD-066 | Evidence status: Gap table (evidence not marked per row) | Trace status: Traced to requirement</t>
        </is>
      </c>
    </row>
    <row r="160">
      <c r="A160" t="inlineStr">
        <is>
          <t>FD-157</t>
        </is>
      </c>
      <c r="B160" t="inlineStr">
        <is>
          <t>Capability</t>
        </is>
      </c>
      <c r="C160" t="inlineStr">
        <is>
          <t>FD-066</t>
        </is>
      </c>
      <c r="D160" t="inlineStr">
        <is>
          <t>Templates are versioned per topic, channel and language</t>
        </is>
      </c>
      <c r="E160" t="inlineStr">
        <is>
          <t>Templates are versioned per topic, channel and language; a version never changes; the person's language is used, else English.</t>
        </is>
      </c>
      <c r="F160" t="inlineStr">
        <is>
          <t>Notifications and community</t>
        </is>
      </c>
      <c r="G160" t="inlineStr">
        <is>
          <t>Candidate</t>
        </is>
      </c>
      <c r="H160" t="inlineStr">
        <is>
          <t>Functional requirement</t>
        </is>
      </c>
      <c r="I160" t="inlineStr">
        <is>
          <t>FR-N04</t>
        </is>
      </c>
      <c r="J160" t="inlineStr">
        <is>
          <t>General</t>
        </is>
      </c>
      <c r="K160" t="inlineStr">
        <is>
          <t>MUST-HAVE</t>
        </is>
      </c>
      <c r="L160" t="inlineStr">
        <is>
          <t>Inherited from parent feature</t>
        </is>
      </c>
      <c r="M160" t="inlineStr">
        <is>
          <t>Part of FD-066: Notification preferences and delivery controls</t>
        </is>
      </c>
      <c r="N160" t="inlineStr">
        <is>
          <t>Firm</t>
        </is>
      </c>
      <c r="O160" t="inlineStr">
        <is>
          <t>Gap table</t>
        </is>
      </c>
      <c r="P160" t="inlineStr">
        <is>
          <t>Built and tested</t>
        </is>
      </c>
      <c r="Q160" t="inlineStr">
        <is>
          <t>Matches</t>
        </is>
      </c>
      <c r="R160" t="inlineStr">
        <is>
          <t>Inherited from FD-066</t>
        </is>
      </c>
      <c r="S160" t="inlineStr">
        <is>
          <t>Traced</t>
        </is>
      </c>
      <c r="U160" t="inlineStr">
        <is>
          <t>inherited</t>
        </is>
      </c>
      <c r="V160" t="inlineStr">
        <is>
          <t>Class basis: Inherited from FD-066 | Evidence status: Gap table (evidence not marked per row) | Trace status: Traced to requirement</t>
        </is>
      </c>
    </row>
    <row r="161">
      <c r="A161" t="inlineStr">
        <is>
          <t>FD-158</t>
        </is>
      </c>
      <c r="B161" t="inlineStr">
        <is>
          <t>Capability</t>
        </is>
      </c>
      <c r="C161" t="inlineStr">
        <is>
          <t>FD-066</t>
        </is>
      </c>
      <c r="D161" t="inlineStr">
        <is>
          <t>An in-app message goes straight to the person's inbox with its delivery row</t>
        </is>
      </c>
      <c r="E161" t="inlineStr">
        <is>
          <t>An in-app message goes straight to the person's inbox with its delivery row; the person reads and marks their own messages and cannot rewrite them; old rows are purged in batches.</t>
        </is>
      </c>
      <c r="F161" t="inlineStr">
        <is>
          <t>Notifications and community</t>
        </is>
      </c>
      <c r="G161" t="inlineStr">
        <is>
          <t>Candidate</t>
        </is>
      </c>
      <c r="H161" t="inlineStr">
        <is>
          <t>Functional requirement</t>
        </is>
      </c>
      <c r="I161" t="inlineStr">
        <is>
          <t>FR-N07</t>
        </is>
      </c>
      <c r="J161" t="inlineStr">
        <is>
          <t>General</t>
        </is>
      </c>
      <c r="K161" t="inlineStr">
        <is>
          <t>MUST-HAVE</t>
        </is>
      </c>
      <c r="L161" t="inlineStr">
        <is>
          <t>Inherited from parent feature</t>
        </is>
      </c>
      <c r="M161" t="inlineStr">
        <is>
          <t>Part of FD-066: Notification preferences and delivery controls</t>
        </is>
      </c>
      <c r="N161" t="inlineStr">
        <is>
          <t>Firm</t>
        </is>
      </c>
      <c r="O161" t="inlineStr">
        <is>
          <t>Gap table</t>
        </is>
      </c>
      <c r="P161" t="inlineStr">
        <is>
          <t>Built and tested</t>
        </is>
      </c>
      <c r="Q161" t="inlineStr">
        <is>
          <t>Matches</t>
        </is>
      </c>
      <c r="R161" t="inlineStr">
        <is>
          <t>Inherited from FD-066</t>
        </is>
      </c>
      <c r="S161" t="inlineStr">
        <is>
          <t>Traced</t>
        </is>
      </c>
      <c r="U161" t="inlineStr">
        <is>
          <t>inherited</t>
        </is>
      </c>
      <c r="V161" t="inlineStr">
        <is>
          <t>Class basis: Inherited from FD-066 | Evidence status: Gap table (evidence not marked per row) | Trace status: Traced to requirement</t>
        </is>
      </c>
    </row>
    <row r="162">
      <c r="A162" t="inlineStr">
        <is>
          <t>FD-159</t>
        </is>
      </c>
      <c r="B162" t="inlineStr">
        <is>
          <t>Capability</t>
        </is>
      </c>
      <c r="C162" t="inlineStr">
        <is>
          <t>FD-067</t>
        </is>
      </c>
      <c r="D162" t="inlineStr">
        <is>
          <t>A report cannot be on the reporter's own content, is decided once by an administrator, and upholding it hides ...</t>
        </is>
      </c>
      <c r="E162" t="inlineStr">
        <is>
          <t>A report cannot be on the reporter's own content, is decided once by an administrator, and upholding it hides the content in the same transaction.</t>
        </is>
      </c>
      <c r="F162" t="inlineStr">
        <is>
          <t>Notifications and community</t>
        </is>
      </c>
      <c r="G162" t="inlineStr">
        <is>
          <t>Candidate</t>
        </is>
      </c>
      <c r="H162" t="inlineStr">
        <is>
          <t>Functional requirement</t>
        </is>
      </c>
      <c r="I162" t="inlineStr">
        <is>
          <t>FR-N10</t>
        </is>
      </c>
      <c r="J162" t="inlineStr">
        <is>
          <t>General</t>
        </is>
      </c>
      <c r="K162" t="inlineStr">
        <is>
          <t>SHOULD-HAVE</t>
        </is>
      </c>
      <c r="L162" t="inlineStr">
        <is>
          <t>Inherited from parent feature</t>
        </is>
      </c>
      <c r="M162" t="inlineStr">
        <is>
          <t>Part of FD-067: Community posts and moderation</t>
        </is>
      </c>
      <c r="N162" t="inlineStr">
        <is>
          <t>Provisional</t>
        </is>
      </c>
      <c r="O162" t="inlineStr">
        <is>
          <t>Gap table</t>
        </is>
      </c>
      <c r="P162" t="inlineStr">
        <is>
          <t>Built and tested</t>
        </is>
      </c>
      <c r="Q162" t="inlineStr">
        <is>
          <t>Matches</t>
        </is>
      </c>
      <c r="R162" t="inlineStr">
        <is>
          <t>Inherited from FD-067</t>
        </is>
      </c>
      <c r="S162" t="inlineStr">
        <is>
          <t>Traced</t>
        </is>
      </c>
      <c r="U162" t="inlineStr">
        <is>
          <t>inherited</t>
        </is>
      </c>
      <c r="V162" t="inlineStr">
        <is>
          <t>Class basis: Inherited from FD-067 | Evidence status: Gap table (evidence not marked per row) | Trace status: Traced to requirement</t>
        </is>
      </c>
    </row>
    <row r="163">
      <c r="A163" t="inlineStr">
        <is>
          <t>FD-160</t>
        </is>
      </c>
      <c r="B163" t="inlineStr">
        <is>
          <t>Capability</t>
        </is>
      </c>
      <c r="C163" t="inlineStr">
        <is>
          <t>FD-078</t>
        </is>
      </c>
      <c r="D163" t="inlineStr">
        <is>
          <t>The audit trail records who did which sensitive action to what and when, and nobody can change or delete it</t>
        </is>
      </c>
      <c r="E163" t="inlineStr">
        <is>
          <t>The audit trail records who did which sensitive action to what and when, and nobody can change or delete it.</t>
        </is>
      </c>
      <c r="F163" t="inlineStr">
        <is>
          <t>Privacy and security</t>
        </is>
      </c>
      <c r="G163" t="inlineStr">
        <is>
          <t>Compliance and privacy officer</t>
        </is>
      </c>
      <c r="H163" t="inlineStr">
        <is>
          <t>Functional requirement</t>
        </is>
      </c>
      <c r="I163" t="inlineStr">
        <is>
          <t>FR-A06</t>
        </is>
      </c>
      <c r="J163" t="inlineStr">
        <is>
          <t>Not observable</t>
        </is>
      </c>
      <c r="K163" t="inlineStr">
        <is>
          <t>MUST-HAVE</t>
        </is>
      </c>
      <c r="L163" t="inlineStr">
        <is>
          <t>Inherited from parent feature</t>
        </is>
      </c>
      <c r="M163" t="inlineStr">
        <is>
          <t>Part of FD-078: Append-only audit trail written by the database</t>
        </is>
      </c>
      <c r="N163" t="inlineStr">
        <is>
          <t>Declared</t>
        </is>
      </c>
      <c r="O163" t="inlineStr">
        <is>
          <t>Own design</t>
        </is>
      </c>
      <c r="P163" t="inlineStr">
        <is>
          <t>Built and tested</t>
        </is>
      </c>
      <c r="Q163" t="inlineStr">
        <is>
          <t>Not compared</t>
        </is>
      </c>
      <c r="R163" t="inlineStr">
        <is>
          <t>Inherited from FD-078</t>
        </is>
      </c>
      <c r="S163" t="inlineStr">
        <is>
          <t>Traced</t>
        </is>
      </c>
      <c r="U163" t="inlineStr">
        <is>
          <t>inherited</t>
        </is>
      </c>
      <c r="V163" t="inlineStr">
        <is>
          <t>Class basis: Inherited from FD-078 | Confidence: Declared (not observable) | Evidence status: Own design (no competitor claim) | Trace status: Traced to requirement</t>
        </is>
      </c>
    </row>
    <row r="164">
      <c r="A164" t="inlineStr">
        <is>
          <t>FD-161</t>
        </is>
      </c>
      <c r="B164" t="inlineStr">
        <is>
          <t>Capability</t>
        </is>
      </c>
      <c r="C164" t="inlineStr">
        <is>
          <t>FD-078</t>
        </is>
      </c>
      <c r="D164" t="inlineStr">
        <is>
          <t>The database writes audit rows for role grants, permission changes, account status changes, consent and blocks</t>
        </is>
      </c>
      <c r="E164" t="inlineStr">
        <is>
          <t>The database writes audit rows for role grants, permission changes, account status changes, consent and blocks.</t>
        </is>
      </c>
      <c r="F164" t="inlineStr">
        <is>
          <t>Privacy and security</t>
        </is>
      </c>
      <c r="G164" t="inlineStr">
        <is>
          <t>Compliance and privacy officer</t>
        </is>
      </c>
      <c r="H164" t="inlineStr">
        <is>
          <t>Functional requirement</t>
        </is>
      </c>
      <c r="I164" t="inlineStr">
        <is>
          <t>FR-X06</t>
        </is>
      </c>
      <c r="J164" t="inlineStr">
        <is>
          <t>Not observable</t>
        </is>
      </c>
      <c r="K164" t="inlineStr">
        <is>
          <t>MUST-HAVE</t>
        </is>
      </c>
      <c r="L164" t="inlineStr">
        <is>
          <t>Inherited from parent feature</t>
        </is>
      </c>
      <c r="M164" t="inlineStr">
        <is>
          <t>Part of FD-078: Append-only audit trail written by the database</t>
        </is>
      </c>
      <c r="N164" t="inlineStr">
        <is>
          <t>Declared</t>
        </is>
      </c>
      <c r="O164" t="inlineStr">
        <is>
          <t>Own design</t>
        </is>
      </c>
      <c r="P164" t="inlineStr">
        <is>
          <t>Built and tested</t>
        </is>
      </c>
      <c r="Q164" t="inlineStr">
        <is>
          <t>Not compared</t>
        </is>
      </c>
      <c r="R164" t="inlineStr">
        <is>
          <t>Inherited from FD-078</t>
        </is>
      </c>
      <c r="S164" t="inlineStr">
        <is>
          <t>Traced</t>
        </is>
      </c>
      <c r="U164" t="inlineStr">
        <is>
          <t>inherited</t>
        </is>
      </c>
      <c r="V164" t="inlineStr">
        <is>
          <t>Class basis: Inherited from FD-078 | Confidence: Declared (not observable) | Evidence status: Own design (no competitor claim) | Trace status: Traced to requirement</t>
        </is>
      </c>
    </row>
    <row r="165">
      <c r="A165" t="inlineStr">
        <is>
          <t>FD-162</t>
        </is>
      </c>
      <c r="B165" t="inlineStr">
        <is>
          <t>Capability</t>
        </is>
      </c>
      <c r="C165" t="inlineStr">
        <is>
          <t>FD-080</t>
        </is>
      </c>
      <c r="D165" t="inlineStr">
        <is>
          <t>Personal data can be erased by scrubbing the personal fields while the row and its history stay valid</t>
        </is>
      </c>
      <c r="E165" t="inlineStr">
        <is>
          <t>Personal data can be erased by scrubbing the personal fields while the row and its history stay valid.</t>
        </is>
      </c>
      <c r="F165" t="inlineStr">
        <is>
          <t>Privacy and security</t>
        </is>
      </c>
      <c r="G165" t="inlineStr">
        <is>
          <t>Compliance and privacy officer</t>
        </is>
      </c>
      <c r="H165" t="inlineStr">
        <is>
          <t>Functional requirement</t>
        </is>
      </c>
      <c r="I165" t="inlineStr">
        <is>
          <t>FR-P11</t>
        </is>
      </c>
      <c r="J165" t="inlineStr">
        <is>
          <t>Not observable</t>
        </is>
      </c>
      <c r="K165" t="inlineStr">
        <is>
          <t>MUST-HAVE</t>
        </is>
      </c>
      <c r="L165" t="inlineStr">
        <is>
          <t>Inherited from parent feature</t>
        </is>
      </c>
      <c r="M165" t="inlineStr">
        <is>
          <t>Part of FD-080: Erasure by scrubbing, keeping history</t>
        </is>
      </c>
      <c r="N165" t="inlineStr">
        <is>
          <t>Declared</t>
        </is>
      </c>
      <c r="O165" t="inlineStr">
        <is>
          <t>Own design</t>
        </is>
      </c>
      <c r="P165" t="inlineStr">
        <is>
          <t>Built and tested</t>
        </is>
      </c>
      <c r="Q165" t="inlineStr">
        <is>
          <t>Not compared</t>
        </is>
      </c>
      <c r="R165" t="inlineStr">
        <is>
          <t>Inherited from FD-080</t>
        </is>
      </c>
      <c r="S165" t="inlineStr">
        <is>
          <t>Traced</t>
        </is>
      </c>
      <c r="U165" t="inlineStr">
        <is>
          <t>inherited</t>
        </is>
      </c>
      <c r="V165" t="inlineStr">
        <is>
          <t>Class basis: Inherited from FD-080 | Confidence: Declared (not observable) | Evidence status: Own design (no competitor claim) | Trace status: Traced to requirement</t>
        </is>
      </c>
    </row>
    <row r="166">
      <c r="A166" t="inlineStr">
        <is>
          <t>FD-163</t>
        </is>
      </c>
      <c r="B166" t="inlineStr">
        <is>
          <t>Capability</t>
        </is>
      </c>
      <c r="C166" t="inlineStr">
        <is>
          <t>FD-080</t>
        </is>
      </c>
      <c r="D166" t="inlineStr">
        <is>
          <t>Erasing a candidate also scrubs the account: sign-in details, credentials, tokens, addresses and device detail...</t>
        </is>
      </c>
      <c r="E166" t="inlineStr">
        <is>
          <t>Erasing a candidate also scrubs the account: sign-in details, credentials, tokens, addresses and device details, keeping consent and audit history.</t>
        </is>
      </c>
      <c r="F166" t="inlineStr">
        <is>
          <t>Privacy and security</t>
        </is>
      </c>
      <c r="G166" t="inlineStr">
        <is>
          <t>Compliance and privacy officer</t>
        </is>
      </c>
      <c r="H166" t="inlineStr">
        <is>
          <t>Functional requirement</t>
        </is>
      </c>
      <c r="I166" t="inlineStr">
        <is>
          <t>FR-A10</t>
        </is>
      </c>
      <c r="J166" t="inlineStr">
        <is>
          <t>Not observable</t>
        </is>
      </c>
      <c r="K166" t="inlineStr">
        <is>
          <t>MUST-HAVE</t>
        </is>
      </c>
      <c r="L166" t="inlineStr">
        <is>
          <t>Inherited from parent feature</t>
        </is>
      </c>
      <c r="M166" t="inlineStr">
        <is>
          <t>Part of FD-080: Erasure by scrubbing, keeping history</t>
        </is>
      </c>
      <c r="N166" t="inlineStr">
        <is>
          <t>Declared</t>
        </is>
      </c>
      <c r="O166" t="inlineStr">
        <is>
          <t>Own design</t>
        </is>
      </c>
      <c r="P166" t="inlineStr">
        <is>
          <t>Built and tested</t>
        </is>
      </c>
      <c r="Q166" t="inlineStr">
        <is>
          <t>Not compared</t>
        </is>
      </c>
      <c r="R166" t="inlineStr">
        <is>
          <t>Inherited from FD-080</t>
        </is>
      </c>
      <c r="S166" t="inlineStr">
        <is>
          <t>Traced</t>
        </is>
      </c>
      <c r="U166" t="inlineStr">
        <is>
          <t>inherited</t>
        </is>
      </c>
      <c r="V166" t="inlineStr">
        <is>
          <t>Class basis: Inherited from FD-080 | Confidence: Declared (not observable) | Evidence status: Own design (no competitor claim) | Trace status: Traced to requirement</t>
        </is>
      </c>
    </row>
    <row r="167">
      <c r="A167" t="inlineStr">
        <is>
          <t>FD-164</t>
        </is>
      </c>
      <c r="B167" t="inlineStr">
        <is>
          <t>Capability</t>
        </is>
      </c>
      <c r="C167" t="inlineStr">
        <is>
          <t>FD-080</t>
        </is>
      </c>
      <c r="D167" t="inlineStr">
        <is>
          <t>A person can be erased on request through one entry point: personal text, notes, comments, search text and der...</t>
        </is>
      </c>
      <c r="E167" t="inlineStr">
        <is>
          <t>A person can be erased on request through one entry point: personal text, notes, comments, search text and derived rows are scrubbed or deleted, staff accounts included, and an erased account or profile cannot receive new data.</t>
        </is>
      </c>
      <c r="F167" t="inlineStr">
        <is>
          <t>Privacy and security</t>
        </is>
      </c>
      <c r="G167" t="inlineStr">
        <is>
          <t>Compliance and privacy officer</t>
        </is>
      </c>
      <c r="H167" t="inlineStr">
        <is>
          <t>Functional requirement</t>
        </is>
      </c>
      <c r="I167" t="inlineStr">
        <is>
          <t>FR-X04</t>
        </is>
      </c>
      <c r="J167" t="inlineStr">
        <is>
          <t>Not observable</t>
        </is>
      </c>
      <c r="K167" t="inlineStr">
        <is>
          <t>MUST-HAVE</t>
        </is>
      </c>
      <c r="L167" t="inlineStr">
        <is>
          <t>Inherited from parent feature</t>
        </is>
      </c>
      <c r="M167" t="inlineStr">
        <is>
          <t>Part of FD-080: Erasure by scrubbing, keeping history</t>
        </is>
      </c>
      <c r="N167" t="inlineStr">
        <is>
          <t>Declared</t>
        </is>
      </c>
      <c r="O167" t="inlineStr">
        <is>
          <t>Own design</t>
        </is>
      </c>
      <c r="P167" t="inlineStr">
        <is>
          <t>Built and tested</t>
        </is>
      </c>
      <c r="Q167" t="inlineStr">
        <is>
          <t>Not compared</t>
        </is>
      </c>
      <c r="R167" t="inlineStr">
        <is>
          <t>Inherited from FD-080</t>
        </is>
      </c>
      <c r="S167" t="inlineStr">
        <is>
          <t>Traced</t>
        </is>
      </c>
      <c r="U167" t="inlineStr">
        <is>
          <t>inherited</t>
        </is>
      </c>
      <c r="V167" t="inlineStr">
        <is>
          <t>Class basis: Inherited from FD-080 | Confidence: Declared (not observable) | Evidence status: Own design (no competitor claim) | Trace status: Traced to requirement</t>
        </is>
      </c>
    </row>
    <row r="168">
      <c r="A168" t="inlineStr">
        <is>
          <t>FD-165</t>
        </is>
      </c>
      <c r="B168" t="inlineStr">
        <is>
          <t>Capability</t>
        </is>
      </c>
      <c r="C168" t="inlineStr">
        <is>
          <t>FD-083</t>
        </is>
      </c>
      <c r="D168" t="inlineStr">
        <is>
          <t>Monthly tables keep a stated retention period</t>
        </is>
      </c>
      <c r="E168" t="inlineStr">
        <is>
          <t>Monthly tables keep a stated retention period; the audit trail is never dropped by the partition function; months past retention are listed.</t>
        </is>
      </c>
      <c r="F168" t="inlineStr">
        <is>
          <t>Platform and scale</t>
        </is>
      </c>
      <c r="G168" t="inlineStr">
        <is>
          <t>Platform operator</t>
        </is>
      </c>
      <c r="H168" t="inlineStr">
        <is>
          <t>Functional requirement</t>
        </is>
      </c>
      <c r="I168" t="inlineStr">
        <is>
          <t>FR-X05</t>
        </is>
      </c>
      <c r="J168" t="inlineStr">
        <is>
          <t>Not observable</t>
        </is>
      </c>
      <c r="K168" t="inlineStr">
        <is>
          <t>MUST-HAVE</t>
        </is>
      </c>
      <c r="L168" t="inlineStr">
        <is>
          <t>Inherited from parent feature</t>
        </is>
      </c>
      <c r="M168" t="inlineStr">
        <is>
          <t>Part of FD-083: Monthly partitions and stated retention</t>
        </is>
      </c>
      <c r="N168" t="inlineStr">
        <is>
          <t>Declared</t>
        </is>
      </c>
      <c r="O168" t="inlineStr">
        <is>
          <t>Own design</t>
        </is>
      </c>
      <c r="P168" t="inlineStr">
        <is>
          <t>Built and tested</t>
        </is>
      </c>
      <c r="Q168" t="inlineStr">
        <is>
          <t>Not compared</t>
        </is>
      </c>
      <c r="R168" t="inlineStr">
        <is>
          <t>Inherited from FD-083</t>
        </is>
      </c>
      <c r="S168" t="inlineStr">
        <is>
          <t>Traced</t>
        </is>
      </c>
      <c r="U168" t="inlineStr">
        <is>
          <t>inherited</t>
        </is>
      </c>
      <c r="V168" t="inlineStr">
        <is>
          <t>Class basis: Inherited from FD-083 | Confidence: Declared (not observable) | Evidence status: Own design (no competitor claim) | Trace status: Traced to requirement</t>
        </is>
      </c>
    </row>
    <row r="169">
      <c r="A169" t="inlineStr">
        <is>
          <t>FD-166</t>
        </is>
      </c>
      <c r="B169" t="inlineStr">
        <is>
          <t>Capability</t>
        </is>
      </c>
      <c r="C169" t="inlineStr">
        <is>
          <t>FD-085</t>
        </is>
      </c>
      <c r="D169" t="inlineStr">
        <is>
          <t>Every message to or from the nine outside systems is logged with a hash of the body, never the body</t>
        </is>
      </c>
      <c r="E169" t="inlineStr">
        <is>
          <t>Every message to or from the nine outside systems is logged with a hash of the body, never the body.</t>
        </is>
      </c>
      <c r="F169" t="inlineStr">
        <is>
          <t>Organisation and admin</t>
        </is>
      </c>
      <c r="G169" t="inlineStr">
        <is>
          <t>Integration service</t>
        </is>
      </c>
      <c r="H169" t="inlineStr">
        <is>
          <t>Functional requirement</t>
        </is>
      </c>
      <c r="I169" t="inlineStr">
        <is>
          <t>FR-A09</t>
        </is>
      </c>
      <c r="J169" t="inlineStr">
        <is>
          <t>Not observable</t>
        </is>
      </c>
      <c r="K169" t="inlineStr">
        <is>
          <t>MUST-HAVE</t>
        </is>
      </c>
      <c r="L169" t="inlineStr">
        <is>
          <t>Inherited from parent feature</t>
        </is>
      </c>
      <c r="M169" t="inlineStr">
        <is>
          <t>Part of FD-085: Outside-system exchange log</t>
        </is>
      </c>
      <c r="N169" t="inlineStr">
        <is>
          <t>Declared</t>
        </is>
      </c>
      <c r="O169" t="inlineStr">
        <is>
          <t>Own design</t>
        </is>
      </c>
      <c r="P169" t="inlineStr">
        <is>
          <t>Built and tested</t>
        </is>
      </c>
      <c r="Q169" t="inlineStr">
        <is>
          <t>Not compared</t>
        </is>
      </c>
      <c r="R169" t="inlineStr">
        <is>
          <t>Inherited from FD-085</t>
        </is>
      </c>
      <c r="S169" t="inlineStr">
        <is>
          <t>Traced</t>
        </is>
      </c>
      <c r="U169" t="inlineStr">
        <is>
          <t>inherited</t>
        </is>
      </c>
      <c r="V169" t="inlineStr">
        <is>
          <t>Class basis: Inherited from FD-085 | Confidence: Declared (not observable) | Evidence status: Own design (no competitor claim) | Trace status: Traced to requirement</t>
        </is>
      </c>
    </row>
    <row r="170">
      <c r="A170" t="inlineStr">
        <is>
          <t>FD-167</t>
        </is>
      </c>
      <c r="B170" t="inlineStr">
        <is>
          <t>Capability</t>
        </is>
      </c>
      <c r="C170" t="inlineStr">
        <is>
          <t>FD-085</t>
        </is>
      </c>
      <c r="D170" t="inlineStr">
        <is>
          <t>Nine outside systems are referenced, not copied, with one exchange log and duplicate protection</t>
        </is>
      </c>
      <c r="E170" t="inlineStr">
        <is>
          <t>Nine outside systems are referenced, not copied, with one exchange log and duplicate protection.</t>
        </is>
      </c>
      <c r="F170" t="inlineStr">
        <is>
          <t>Organisation and admin</t>
        </is>
      </c>
      <c r="G170" t="inlineStr">
        <is>
          <t>Integration service</t>
        </is>
      </c>
      <c r="H170" t="inlineStr">
        <is>
          <t>Functional requirement</t>
        </is>
      </c>
      <c r="I170" t="inlineStr">
        <is>
          <t>FR-X02</t>
        </is>
      </c>
      <c r="J170" t="inlineStr">
        <is>
          <t>Not observable</t>
        </is>
      </c>
      <c r="K170" t="inlineStr">
        <is>
          <t>MUST-HAVE</t>
        </is>
      </c>
      <c r="L170" t="inlineStr">
        <is>
          <t>Inherited from parent feature</t>
        </is>
      </c>
      <c r="M170" t="inlineStr">
        <is>
          <t>Part of FD-085: Outside-system exchange log</t>
        </is>
      </c>
      <c r="N170" t="inlineStr">
        <is>
          <t>Declared</t>
        </is>
      </c>
      <c r="O170" t="inlineStr">
        <is>
          <t>Own design</t>
        </is>
      </c>
      <c r="P170" t="inlineStr">
        <is>
          <t>Built and tested</t>
        </is>
      </c>
      <c r="Q170" t="inlineStr">
        <is>
          <t>Not compared</t>
        </is>
      </c>
      <c r="R170" t="inlineStr">
        <is>
          <t>Inherited from FD-085</t>
        </is>
      </c>
      <c r="S170" t="inlineStr">
        <is>
          <t>Traced</t>
        </is>
      </c>
      <c r="U170" t="inlineStr">
        <is>
          <t>inherited</t>
        </is>
      </c>
      <c r="V170" t="inlineStr">
        <is>
          <t>Class basis: Inherited from FD-085 | Confidence: Declared (not observable) | Evidence status: Own design (no competitor claim) | Trace status: Traced to requirement</t>
        </is>
      </c>
    </row>
    <row r="171">
      <c r="A171" t="inlineStr">
        <is>
          <t>FD-168</t>
        </is>
      </c>
      <c r="B171" t="inlineStr">
        <is>
          <t>Capability</t>
        </is>
      </c>
      <c r="C171" t="inlineStr">
        <is>
          <t>FD-086</t>
        </is>
      </c>
      <c r="D171" t="inlineStr">
        <is>
          <t>Links to the old systems are kept with sync direction, status, last error and source version</t>
        </is>
      </c>
      <c r="E171" t="inlineStr">
        <is>
          <t>Links to the old systems are kept with sync direction, status, last error and source version.</t>
        </is>
      </c>
      <c r="F171" t="inlineStr">
        <is>
          <t>Organisation and admin</t>
        </is>
      </c>
      <c r="G171" t="inlineStr">
        <is>
          <t>Integration service</t>
        </is>
      </c>
      <c r="H171" t="inlineStr">
        <is>
          <t>Functional requirement</t>
        </is>
      </c>
      <c r="I171" t="inlineStr">
        <is>
          <t>FR-P13</t>
        </is>
      </c>
      <c r="J171" t="inlineStr">
        <is>
          <t>Not observable</t>
        </is>
      </c>
      <c r="K171" t="inlineStr">
        <is>
          <t>MUST-HAVE</t>
        </is>
      </c>
      <c r="L171" t="inlineStr">
        <is>
          <t>Inherited from parent feature</t>
        </is>
      </c>
      <c r="M171" t="inlineStr">
        <is>
          <t>Part of FD-086: Links to the old systems</t>
        </is>
      </c>
      <c r="N171" t="inlineStr">
        <is>
          <t>Declared</t>
        </is>
      </c>
      <c r="O171" t="inlineStr">
        <is>
          <t>Own design</t>
        </is>
      </c>
      <c r="P171" t="inlineStr">
        <is>
          <t>Built and tested</t>
        </is>
      </c>
      <c r="Q171" t="inlineStr">
        <is>
          <t>Not compared</t>
        </is>
      </c>
      <c r="R171" t="inlineStr">
        <is>
          <t>Inherited from FD-086</t>
        </is>
      </c>
      <c r="S171" t="inlineStr">
        <is>
          <t>Traced</t>
        </is>
      </c>
      <c r="U171" t="inlineStr">
        <is>
          <t>inherited</t>
        </is>
      </c>
      <c r="V171" t="inlineStr">
        <is>
          <t>Class basis: Inherited from FD-086 | Confidence: Declared (not observable) | Evidence status: Own design (no competitor claim) | Trace status: Traced to requirement</t>
        </is>
      </c>
    </row>
    <row r="172">
      <c r="A172" t="inlineStr">
        <is>
          <t>FD-169</t>
        </is>
      </c>
      <c r="B172" t="inlineStr">
        <is>
          <t>Capability</t>
        </is>
      </c>
      <c r="C172" t="inlineStr">
        <is>
          <t>FD-086</t>
        </is>
      </c>
      <c r="D172" t="inlineStr">
        <is>
          <t>Links to old systems for jobs are kept with sync direction, status, last error and source version</t>
        </is>
      </c>
      <c r="E172" t="inlineStr">
        <is>
          <t>Links to old systems for jobs are kept with sync direction, status, last error and source version.</t>
        </is>
      </c>
      <c r="F172" t="inlineStr">
        <is>
          <t>Organisation and admin</t>
        </is>
      </c>
      <c r="G172" t="inlineStr">
        <is>
          <t>Integration service</t>
        </is>
      </c>
      <c r="H172" t="inlineStr">
        <is>
          <t>Functional requirement</t>
        </is>
      </c>
      <c r="I172" t="inlineStr">
        <is>
          <t>FR-J17</t>
        </is>
      </c>
      <c r="J172" t="inlineStr">
        <is>
          <t>Not observable</t>
        </is>
      </c>
      <c r="K172" t="inlineStr">
        <is>
          <t>MUST-HAVE</t>
        </is>
      </c>
      <c r="L172" t="inlineStr">
        <is>
          <t>Inherited from parent feature</t>
        </is>
      </c>
      <c r="M172" t="inlineStr">
        <is>
          <t>Part of FD-086: Links to the old systems</t>
        </is>
      </c>
      <c r="N172" t="inlineStr">
        <is>
          <t>Declared</t>
        </is>
      </c>
      <c r="O172" t="inlineStr">
        <is>
          <t>Own design</t>
        </is>
      </c>
      <c r="P172" t="inlineStr">
        <is>
          <t>Built and tested</t>
        </is>
      </c>
      <c r="Q172" t="inlineStr">
        <is>
          <t>Not compared</t>
        </is>
      </c>
      <c r="R172" t="inlineStr">
        <is>
          <t>Inherited from FD-086</t>
        </is>
      </c>
      <c r="S172" t="inlineStr">
        <is>
          <t>Traced</t>
        </is>
      </c>
      <c r="U172" t="inlineStr">
        <is>
          <t>inherited</t>
        </is>
      </c>
      <c r="V172" t="inlineStr">
        <is>
          <t>Class basis: Inherited from FD-086 | Confidence: Declared (not observable) | Evidence status: Own design (no competitor claim) | Trace status: Traced to requirement</t>
        </is>
      </c>
    </row>
    <row r="173">
      <c r="A173" t="inlineStr">
        <is>
          <t>FD-170</t>
        </is>
      </c>
      <c r="B173" t="inlineStr">
        <is>
          <t>Capability</t>
        </is>
      </c>
      <c r="C173" t="inlineStr">
        <is>
          <t>FD-088</t>
        </is>
      </c>
      <c r="D173" t="inlineStr">
        <is>
          <t>Payments are stored as gateway messages: a repeated message adds nothing, a refund reverses a succeeded charge...</t>
        </is>
      </c>
      <c r="E173" t="inlineStr">
        <is>
          <t>Payments are stored as gateway messages: a repeated message adds nothing, a refund reverses a succeeded charge and all refunds of a charge cannot exceed it, and card or bank data is never stored.</t>
        </is>
      </c>
      <c r="F173" t="inlineStr">
        <is>
          <t>Licences, subscriptions and wallet</t>
        </is>
      </c>
      <c r="G173" t="inlineStr">
        <is>
          <t>Organisation administrator</t>
        </is>
      </c>
      <c r="H173" t="inlineStr">
        <is>
          <t>Functional requirement</t>
        </is>
      </c>
      <c r="I173" t="inlineStr">
        <is>
          <t>FR-S05</t>
        </is>
      </c>
      <c r="J173" t="inlineStr">
        <is>
          <t>Not observable</t>
        </is>
      </c>
      <c r="K173" t="inlineStr">
        <is>
          <t>SHOULD-HAVE</t>
        </is>
      </c>
      <c r="L173" t="inlineStr">
        <is>
          <t>Inherited from parent feature</t>
        </is>
      </c>
      <c r="M173" t="inlineStr">
        <is>
          <t>Part of FD-088: Payment messages stored once</t>
        </is>
      </c>
      <c r="N173" t="inlineStr">
        <is>
          <t>Declared</t>
        </is>
      </c>
      <c r="O173" t="inlineStr">
        <is>
          <t>Own design</t>
        </is>
      </c>
      <c r="P173" t="inlineStr">
        <is>
          <t>Built and tested</t>
        </is>
      </c>
      <c r="Q173" t="inlineStr">
        <is>
          <t>Not compared</t>
        </is>
      </c>
      <c r="R173" t="inlineStr">
        <is>
          <t>Inherited from FD-088</t>
        </is>
      </c>
      <c r="S173" t="inlineStr">
        <is>
          <t>Traced</t>
        </is>
      </c>
      <c r="U173" t="inlineStr">
        <is>
          <t>inherited</t>
        </is>
      </c>
      <c r="V173" t="inlineStr">
        <is>
          <t>Class basis: Inherited from FD-088 | Confidence: Declared (not observable) | Evidence status: Own design (no competitor claim) | Trace status: Traced to requirement</t>
        </is>
      </c>
    </row>
    <row r="174">
      <c r="A174" t="inlineStr">
        <is>
          <t>FD-171</t>
        </is>
      </c>
      <c r="B174" t="inlineStr">
        <is>
          <t>Capability</t>
        </is>
      </c>
      <c r="C174" t="inlineStr">
        <is>
          <t>FD-088</t>
        </is>
      </c>
      <c r="D174" t="inlineStr">
        <is>
          <t>Wallet and payments belong to the Subscriptions module</t>
        </is>
      </c>
      <c r="E174" t="inlineStr">
        <is>
          <t>Wallet and payments belong to the Subscriptions module.</t>
        </is>
      </c>
      <c r="F174" t="inlineStr">
        <is>
          <t>Licences, subscriptions and wallet</t>
        </is>
      </c>
      <c r="G174" t="inlineStr">
        <is>
          <t>Organisation administrator</t>
        </is>
      </c>
      <c r="H174" t="inlineStr">
        <is>
          <t>Functional requirement</t>
        </is>
      </c>
      <c r="I174" t="inlineStr">
        <is>
          <t>FR-X03</t>
        </is>
      </c>
      <c r="J174" t="inlineStr">
        <is>
          <t>Not observable</t>
        </is>
      </c>
      <c r="K174" t="inlineStr">
        <is>
          <t>SHOULD-HAVE</t>
        </is>
      </c>
      <c r="L174" t="inlineStr">
        <is>
          <t>Inherited from parent feature</t>
        </is>
      </c>
      <c r="M174" t="inlineStr">
        <is>
          <t>Part of FD-088: Payment messages stored once</t>
        </is>
      </c>
      <c r="N174" t="inlineStr">
        <is>
          <t>Declared</t>
        </is>
      </c>
      <c r="O174" t="inlineStr">
        <is>
          <t>Own design</t>
        </is>
      </c>
      <c r="P174" t="inlineStr">
        <is>
          <t>Built and tested</t>
        </is>
      </c>
      <c r="Q174" t="inlineStr">
        <is>
          <t>Not compared</t>
        </is>
      </c>
      <c r="R174" t="inlineStr">
        <is>
          <t>Inherited from FD-088</t>
        </is>
      </c>
      <c r="S174" t="inlineStr">
        <is>
          <t>Traced</t>
        </is>
      </c>
      <c r="U174" t="inlineStr">
        <is>
          <t>inherited</t>
        </is>
      </c>
      <c r="V174" t="inlineStr">
        <is>
          <t>Class basis: Inherited from FD-088 | Confidence: Declared (not observable) | Evidence status: Own design (no competitor claim) | Trace status: Traced to requirement</t>
        </is>
      </c>
    </row>
    <row r="175">
      <c r="A175" t="inlineStr">
        <is>
          <t>FD-172</t>
        </is>
      </c>
      <c r="B175" t="inlineStr">
        <is>
          <t>Capability</t>
        </is>
      </c>
      <c r="C175" t="inlineStr">
        <is>
          <t>FD-093</t>
        </is>
      </c>
      <c r="D175" t="inlineStr">
        <is>
          <t>Every enumeration is a lookup table with a stable code, a name, sort order and an active flag</t>
        </is>
      </c>
      <c r="E175" t="inlineStr">
        <is>
          <t>Every enumeration is a lookup table with a stable code, a name, sort order and an active flag; retired values stay.</t>
        </is>
      </c>
      <c r="F175" t="inlineStr">
        <is>
          <t>Organisation and admin</t>
        </is>
      </c>
      <c r="G175" t="inlineStr">
        <is>
          <t>Platform operator</t>
        </is>
      </c>
      <c r="H175" t="inlineStr">
        <is>
          <t>Functional requirement</t>
        </is>
      </c>
      <c r="I175" t="inlineStr">
        <is>
          <t>FR-M01</t>
        </is>
      </c>
      <c r="J175" t="inlineStr">
        <is>
          <t>Not observable</t>
        </is>
      </c>
      <c r="K175" t="inlineStr">
        <is>
          <t>SHOULD-HAVE</t>
        </is>
      </c>
      <c r="L175" t="inlineStr">
        <is>
          <t>Inherited from parent feature</t>
        </is>
      </c>
      <c r="M175" t="inlineStr">
        <is>
          <t>Part of FD-093: Lookup lists with translations</t>
        </is>
      </c>
      <c r="N175" t="inlineStr">
        <is>
          <t>Declared</t>
        </is>
      </c>
      <c r="O175" t="inlineStr">
        <is>
          <t>Own design</t>
        </is>
      </c>
      <c r="P175" t="inlineStr">
        <is>
          <t>Built and tested</t>
        </is>
      </c>
      <c r="Q175" t="inlineStr">
        <is>
          <t>Not compared</t>
        </is>
      </c>
      <c r="R175" t="inlineStr">
        <is>
          <t>Inherited from FD-093</t>
        </is>
      </c>
      <c r="S175" t="inlineStr">
        <is>
          <t>Traced</t>
        </is>
      </c>
      <c r="U175" t="inlineStr">
        <is>
          <t>inherited</t>
        </is>
      </c>
      <c r="V175" t="inlineStr">
        <is>
          <t>Class basis: Inherited from FD-093 | Confidence: Declared (not observable) | Evidence status: Own design (no competitor claim) | Trace status: Traced to requirement</t>
        </is>
      </c>
    </row>
    <row r="176">
      <c r="A176" t="inlineStr">
        <is>
          <t>FD-173</t>
        </is>
      </c>
      <c r="B176" t="inlineStr">
        <is>
          <t>Capability</t>
        </is>
      </c>
      <c r="C176" t="inlineStr">
        <is>
          <t>FD-095</t>
        </is>
      </c>
      <c r="D176" t="inlineStr">
        <is>
          <t>Passwords are stored only as a slow hash, apart from the account, with lock-out counters</t>
        </is>
      </c>
      <c r="E176" t="inlineStr">
        <is>
          <t>Passwords are stored only as a slow hash, apart from the account, with lock-out counters; federated sign-in stores the provider subject.</t>
        </is>
      </c>
      <c r="F176" t="inlineStr">
        <is>
          <t>Privacy and security</t>
        </is>
      </c>
      <c r="G176" t="inlineStr">
        <is>
          <t>Platform administrator</t>
        </is>
      </c>
      <c r="H176" t="inlineStr">
        <is>
          <t>Functional requirement</t>
        </is>
      </c>
      <c r="I176" t="inlineStr">
        <is>
          <t>FR-A02</t>
        </is>
      </c>
      <c r="J176" t="inlineStr">
        <is>
          <t>Not observable</t>
        </is>
      </c>
      <c r="K176" t="inlineStr">
        <is>
          <t>MUST-HAVE</t>
        </is>
      </c>
      <c r="L176" t="inlineStr">
        <is>
          <t>Inherited from parent feature</t>
        </is>
      </c>
      <c r="M176" t="inlineStr">
        <is>
          <t>Part of FD-095: Passwords, tokens and sessions kept as hashes</t>
        </is>
      </c>
      <c r="N176" t="inlineStr">
        <is>
          <t>Declared</t>
        </is>
      </c>
      <c r="O176" t="inlineStr">
        <is>
          <t>Own design</t>
        </is>
      </c>
      <c r="P176" t="inlineStr">
        <is>
          <t>Built and tested</t>
        </is>
      </c>
      <c r="Q176" t="inlineStr">
        <is>
          <t>Not compared</t>
        </is>
      </c>
      <c r="R176" t="inlineStr">
        <is>
          <t>Inherited from FD-095</t>
        </is>
      </c>
      <c r="S176" t="inlineStr">
        <is>
          <t>Traced</t>
        </is>
      </c>
      <c r="U176" t="inlineStr">
        <is>
          <t>inherited</t>
        </is>
      </c>
      <c r="V176" t="inlineStr">
        <is>
          <t>Class basis: Inherited from FD-095 | Confidence: Declared (not observable) | Evidence status: Own design (no competitor claim) | Trace status: Traced to requirement</t>
        </is>
      </c>
    </row>
    <row r="177">
      <c r="A177" t="inlineStr">
        <is>
          <t>FD-174</t>
        </is>
      </c>
      <c r="B177" t="inlineStr">
        <is>
          <t>Capability</t>
        </is>
      </c>
      <c r="C177" t="inlineStr">
        <is>
          <t>FD-095</t>
        </is>
      </c>
      <c r="D177" t="inlineStr">
        <is>
          <t>One-time tokens for verification and reset are stored only as a hash and expire</t>
        </is>
      </c>
      <c r="E177" t="inlineStr">
        <is>
          <t>One-time tokens for verification and reset are stored only as a hash and expire.</t>
        </is>
      </c>
      <c r="F177" t="inlineStr">
        <is>
          <t>Privacy and security</t>
        </is>
      </c>
      <c r="G177" t="inlineStr">
        <is>
          <t>Platform administrator</t>
        </is>
      </c>
      <c r="H177" t="inlineStr">
        <is>
          <t>Functional requirement</t>
        </is>
      </c>
      <c r="I177" t="inlineStr">
        <is>
          <t>FR-A03</t>
        </is>
      </c>
      <c r="J177" t="inlineStr">
        <is>
          <t>Not observable</t>
        </is>
      </c>
      <c r="K177" t="inlineStr">
        <is>
          <t>MUST-HAVE</t>
        </is>
      </c>
      <c r="L177" t="inlineStr">
        <is>
          <t>Inherited from parent feature</t>
        </is>
      </c>
      <c r="M177" t="inlineStr">
        <is>
          <t>Part of FD-095: Passwords, tokens and sessions kept as hashes</t>
        </is>
      </c>
      <c r="N177" t="inlineStr">
        <is>
          <t>Declared</t>
        </is>
      </c>
      <c r="O177" t="inlineStr">
        <is>
          <t>Own design</t>
        </is>
      </c>
      <c r="P177" t="inlineStr">
        <is>
          <t>Built and tested</t>
        </is>
      </c>
      <c r="Q177" t="inlineStr">
        <is>
          <t>Not compared</t>
        </is>
      </c>
      <c r="R177" t="inlineStr">
        <is>
          <t>Inherited from FD-095</t>
        </is>
      </c>
      <c r="S177" t="inlineStr">
        <is>
          <t>Traced</t>
        </is>
      </c>
      <c r="U177" t="inlineStr">
        <is>
          <t>inherited</t>
        </is>
      </c>
      <c r="V177" t="inlineStr">
        <is>
          <t>Class basis: Inherited from FD-095 | Confidence: Declared (not observable) | Evidence status: Own design (no competitor claim) | Trace status: Traced to requirement</t>
        </is>
      </c>
    </row>
    <row r="178">
      <c r="A178" t="inlineStr">
        <is>
          <t>FD-175</t>
        </is>
      </c>
      <c r="B178" t="inlineStr">
        <is>
          <t>Capability</t>
        </is>
      </c>
      <c r="C178" t="inlineStr">
        <is>
          <t>FD-099</t>
        </is>
      </c>
      <c r="D178" t="inlineStr">
        <is>
          <t>Recruiters are assigned to a requirement of their own company</t>
        </is>
      </c>
      <c r="E178" t="inlineStr">
        <is>
          <t>Recruiters are assigned to a requirement of their own company; an agency can post on behalf of a company.</t>
        </is>
      </c>
      <c r="F178" t="inlineStr">
        <is>
          <t>Jobs</t>
        </is>
      </c>
      <c r="G178" t="inlineStr">
        <is>
          <t>Recruiter</t>
        </is>
      </c>
      <c r="H178" t="inlineStr">
        <is>
          <t>Functional requirement</t>
        </is>
      </c>
      <c r="I178" t="inlineStr">
        <is>
          <t>FR-J06</t>
        </is>
      </c>
      <c r="J178" t="inlineStr">
        <is>
          <t>General</t>
        </is>
      </c>
      <c r="K178" t="inlineStr">
        <is>
          <t>SHOULD-HAVE</t>
        </is>
      </c>
      <c r="L178" t="inlineStr">
        <is>
          <t>Inherited from parent feature</t>
        </is>
      </c>
      <c r="M178" t="inlineStr">
        <is>
          <t>Part of FD-099: Agency posts for a client</t>
        </is>
      </c>
      <c r="N178" t="inlineStr">
        <is>
          <t>Provisional</t>
        </is>
      </c>
      <c r="O178" t="inlineStr">
        <is>
          <t>Own design</t>
        </is>
      </c>
      <c r="P178" t="inlineStr">
        <is>
          <t>Built</t>
        </is>
      </c>
      <c r="Q178" t="inlineStr">
        <is>
          <t>Not compared</t>
        </is>
      </c>
      <c r="R178" t="inlineStr">
        <is>
          <t>Inherited from FD-099</t>
        </is>
      </c>
      <c r="S178" t="inlineStr">
        <is>
          <t>Traced</t>
        </is>
      </c>
      <c r="U178" t="inlineStr">
        <is>
          <t>inherited</t>
        </is>
      </c>
      <c r="V178" t="inlineStr">
        <is>
          <t>Class basis: Inherited from FD-099 | Evidence status: Own design (no competitor claim) | Trace status: Traced to requirement</t>
        </is>
      </c>
    </row>
    <row r="179">
      <c r="A179" t="inlineStr">
        <is>
          <t>FD-176</t>
        </is>
      </c>
      <c r="B179" t="inlineStr">
        <is>
          <t>Capability</t>
        </is>
      </c>
      <c r="C179" t="inlineStr">
        <is>
          <t>FD-099</t>
        </is>
      </c>
      <c r="D179" t="inlineStr">
        <is>
          <t>A staffing agency posts for a client only through an active link, and only an organisation of type staffing ag...</t>
        </is>
      </c>
      <c r="E179" t="inlineStr">
        <is>
          <t>A staffing agency posts for a client only through an active link, and only an organisation of type staffing agency can be the agency.</t>
        </is>
      </c>
      <c r="F179" t="inlineStr">
        <is>
          <t>Jobs</t>
        </is>
      </c>
      <c r="G179" t="inlineStr">
        <is>
          <t>Recruiter</t>
        </is>
      </c>
      <c r="H179" t="inlineStr">
        <is>
          <t>Functional requirement</t>
        </is>
      </c>
      <c r="I179" t="inlineStr">
        <is>
          <t>FR-O06</t>
        </is>
      </c>
      <c r="J179" t="inlineStr">
        <is>
          <t>General</t>
        </is>
      </c>
      <c r="K179" t="inlineStr">
        <is>
          <t>SHOULD-HAVE</t>
        </is>
      </c>
      <c r="L179" t="inlineStr">
        <is>
          <t>Inherited from parent feature</t>
        </is>
      </c>
      <c r="M179" t="inlineStr">
        <is>
          <t>Part of FD-099: Agency posts for a client</t>
        </is>
      </c>
      <c r="N179" t="inlineStr">
        <is>
          <t>Provisional</t>
        </is>
      </c>
      <c r="O179" t="inlineStr">
        <is>
          <t>Own design</t>
        </is>
      </c>
      <c r="P179" t="inlineStr">
        <is>
          <t>Built and tested</t>
        </is>
      </c>
      <c r="Q179" t="inlineStr">
        <is>
          <t>Not compared</t>
        </is>
      </c>
      <c r="R179" t="inlineStr">
        <is>
          <t>Inherited from FD-099</t>
        </is>
      </c>
      <c r="S179" t="inlineStr">
        <is>
          <t>Traced</t>
        </is>
      </c>
      <c r="U179" t="inlineStr">
        <is>
          <t>inherited</t>
        </is>
      </c>
      <c r="V179" t="inlineStr">
        <is>
          <t>Class basis: Inherited from FD-099 | Evidence status: Own design (no competitor claim) | Trace status: Traced to requirement</t>
        </is>
      </c>
    </row>
  </sheetData>
  <autoFilter ref="A3:V179"/>
  <dataValidations count="12">
    <dataValidation sqref="B4:B279" showDropDown="0" showInputMessage="0" showErrorMessage="1" allowBlank="1" errorTitle="Not in the schema list" error="Pick a value from the FeatureLevel list on the Allowed values sheet." type="list">
      <formula1>='Allowed values'!$B$28:$B$29</formula1>
    </dataValidation>
    <dataValidation sqref="F4:F279" showDropDown="0" showInputMessage="0" showErrorMessage="1" allowBlank="1" errorTitle="Not in the schema list" error="Pick a value from the Category list on the Allowed values sheet." type="list">
      <formula1>='Allowed values'!$B$30:$B$43</formula1>
    </dataValidation>
    <dataValidation sqref="G4:G279" showDropDown="0" showInputMessage="0" showErrorMessage="1" allowBlank="1" errorTitle="Not in the schema list" error="Pick a value from the Persona list on the Allowed values sheet." type="list">
      <formula1>='Allowed values'!$B$44:$B$55</formula1>
    </dataValidation>
    <dataValidation sqref="H4:H279" showDropDown="0" showInputMessage="0" showErrorMessage="1" allowBlank="1" errorTitle="Not in the schema list" error="Pick a value from the SourceType list on the Allowed values sheet." type="list">
      <formula1>='Allowed values'!$B$59:$B$64</formula1>
    </dataValidation>
    <dataValidation sqref="J4:J279" showDropDown="0" showInputMessage="0" showErrorMessage="1" allowBlank="1" errorTitle="Not in the schema list" error="Pick a value from the ComparisonScope list on the Allowed values sheet." type="list">
      <formula1>='Allowed values'!$B$56:$B$58</formula1>
    </dataValidation>
    <dataValidation sqref="K4:K279" showDropDown="0" showInputMessage="0" showErrorMessage="1" allowBlank="1" errorTitle="Not in the schema list" error="Pick a value from the Class list on the Allowed values sheet." type="list">
      <formula1>='Allowed values'!$B$68:$B$70</formula1>
    </dataValidation>
    <dataValidation sqref="L4:L279" showDropDown="0" showInputMessage="0" showErrorMessage="1" allowBlank="1" errorTitle="Not in the schema list" error="Pick a value from the ClassBasis list on the Allowed values sheet." type="list">
      <formula1>='Allowed values'!$B$71:$B$77</formula1>
    </dataValidation>
    <dataValidation sqref="N4:N279" showDropDown="0" showInputMessage="0" showErrorMessage="1" allowBlank="1" errorTitle="Not in the schema list" error="Pick a value from the Confidence list on the Allowed values sheet." type="list">
      <formula1>='Allowed values'!$B$78:$B$80</formula1>
    </dataValidation>
    <dataValidation sqref="O4:O279" showDropDown="0" showInputMessage="0" showErrorMessage="1" allowBlank="1" errorTitle="Not in the schema list" error="Pick a value from the EvidenceStatus list on the Allowed values sheet." type="list">
      <formula1>='Allowed values'!$B$21:$B$27</formula1>
    </dataValidation>
    <dataValidation sqref="P4:P279" showDropDown="0" showInputMessage="0" showErrorMessage="1" allowBlank="1" errorTitle="Not in the schema list" error="Pick a value from the OurCoverage list on the Allowed values sheet." type="list">
      <formula1>='Allowed values'!$B$90:$B$94</formula1>
    </dataValidation>
    <dataValidation sqref="Q4:Q279" showDropDown="0" showInputMessage="0" showErrorMessage="1" allowBlank="1" errorTitle="Not in the schema list" error="Pick a value from the Verdict list on the Allowed values sheet." type="list">
      <formula1>='Allowed values'!$B$95:$B$99</formula1>
    </dataValidation>
    <dataValidation sqref="S4:S279" showDropDown="0" showInputMessage="0" showErrorMessage="1" allowBlank="1" errorTitle="Not in the schema list" error="Pick a value from the TraceState list on the Allowed values sheet." type="list">
      <formula1>='Allowed values'!$B$102:$B$104</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13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s>
  <sheetData>
    <row r="1">
      <c r="A1" s="42" t="inlineStr">
        <is>
          <t>Output document (draft, deliverable c): the competitor coverage matrix, in the original column layout (one column per competitor).</t>
        </is>
      </c>
    </row>
    <row r="3">
      <c r="A3" s="24" t="inlineStr">
        <is>
          <t>ID</t>
        </is>
      </c>
      <c r="B3" s="24" t="inlineStr">
        <is>
          <t>Feature</t>
        </is>
      </c>
      <c r="C3" s="24" t="inlineStr">
        <is>
          <t>Category</t>
        </is>
      </c>
      <c r="D3" s="24" t="inlineStr">
        <is>
          <t>Scope</t>
        </is>
      </c>
      <c r="E3" s="24" t="inlineStr">
        <is>
          <t>Naukri</t>
        </is>
      </c>
      <c r="F3" s="24" t="inlineStr">
        <is>
          <t>Monster</t>
        </is>
      </c>
      <c r="G3" s="24" t="inlineStr">
        <is>
          <t>LinkedIn</t>
        </is>
      </c>
      <c r="H3" s="24" t="inlineStr">
        <is>
          <t>Naukri Campus</t>
        </is>
      </c>
      <c r="I3" s="24" t="inlineStr">
        <is>
          <t>Leaders studied</t>
        </is>
      </c>
      <c r="J3" s="24" t="inlineStr">
        <is>
          <t>Offering</t>
        </is>
      </c>
      <c r="K3" s="24" t="inlineStr">
        <is>
          <t>Not verified</t>
        </is>
      </c>
      <c r="L3" s="24" t="inlineStr">
        <is>
          <t>Rule-based class</t>
        </is>
      </c>
      <c r="M3" s="24" t="inlineStr">
        <is>
          <t>Confidence</t>
        </is>
      </c>
      <c r="N3" s="24" t="inlineStr">
        <is>
          <t>Our coverage</t>
        </is>
      </c>
      <c r="O3" s="24" t="inlineStr">
        <is>
          <t>Verdict</t>
        </is>
      </c>
    </row>
    <row r="4">
      <c r="A4" t="inlineStr">
        <is>
          <t>FD-001</t>
        </is>
      </c>
      <c r="B4" t="inlineStr">
        <is>
          <t>Resume headline and profile summary</t>
        </is>
      </c>
      <c r="C4" t="inlineStr">
        <is>
          <t>Profile</t>
        </is>
      </c>
      <c r="D4" t="inlineStr">
        <is>
          <t>General</t>
        </is>
      </c>
      <c r="E4" t="inlineStr">
        <is>
          <t>Yes</t>
        </is>
      </c>
      <c r="F4" t="inlineStr">
        <is>
          <t>Partial</t>
        </is>
      </c>
      <c r="G4" t="inlineStr">
        <is>
          <t>Yes</t>
        </is>
      </c>
      <c r="H4" t="inlineStr">
        <is>
          <t>Partial</t>
        </is>
      </c>
      <c r="I4" t="n">
        <v>3</v>
      </c>
      <c r="J4" t="n">
        <v>3</v>
      </c>
      <c r="K4" t="n">
        <v>0</v>
      </c>
      <c r="L4" t="inlineStr">
        <is>
          <t>MUST-HAVE</t>
        </is>
      </c>
      <c r="M4" t="inlineStr">
        <is>
          <t>Firm</t>
        </is>
      </c>
      <c r="N4" t="inlineStr">
        <is>
          <t>Built and tested</t>
        </is>
      </c>
      <c r="O4" t="inlineStr">
        <is>
          <t>Matches</t>
        </is>
      </c>
    </row>
    <row r="5">
      <c r="A5" t="inlineStr">
        <is>
          <t>FD-002</t>
        </is>
      </c>
      <c r="B5" t="inlineStr">
        <is>
          <t>Employment history with designation, organisation, duration, description</t>
        </is>
      </c>
      <c r="C5" t="inlineStr">
        <is>
          <t>Profile</t>
        </is>
      </c>
      <c r="D5" t="inlineStr">
        <is>
          <t>General</t>
        </is>
      </c>
      <c r="E5" t="inlineStr">
        <is>
          <t>Yes</t>
        </is>
      </c>
      <c r="F5" t="inlineStr">
        <is>
          <t>Partial</t>
        </is>
      </c>
      <c r="G5" t="inlineStr">
        <is>
          <t>Yes</t>
        </is>
      </c>
      <c r="H5" t="inlineStr">
        <is>
          <t>Partial</t>
        </is>
      </c>
      <c r="I5" t="n">
        <v>3</v>
      </c>
      <c r="J5" t="n">
        <v>3</v>
      </c>
      <c r="K5" t="n">
        <v>0</v>
      </c>
      <c r="L5" t="inlineStr">
        <is>
          <t>MUST-HAVE</t>
        </is>
      </c>
      <c r="M5" t="inlineStr">
        <is>
          <t>Firm</t>
        </is>
      </c>
      <c r="N5" t="inlineStr">
        <is>
          <t>Built and tested</t>
        </is>
      </c>
      <c r="O5" t="inlineStr">
        <is>
          <t>Matches</t>
        </is>
      </c>
    </row>
    <row r="6">
      <c r="A6" t="inlineStr">
        <is>
          <t>FD-003</t>
        </is>
      </c>
      <c r="B6" t="inlineStr">
        <is>
          <t>Education</t>
        </is>
      </c>
      <c r="C6" t="inlineStr">
        <is>
          <t>Profile</t>
        </is>
      </c>
      <c r="D6" t="inlineStr">
        <is>
          <t>General</t>
        </is>
      </c>
      <c r="E6" t="inlineStr">
        <is>
          <t>Yes</t>
        </is>
      </c>
      <c r="F6" t="inlineStr">
        <is>
          <t>Partial</t>
        </is>
      </c>
      <c r="G6" t="inlineStr">
        <is>
          <t>Yes</t>
        </is>
      </c>
      <c r="H6" t="inlineStr">
        <is>
          <t>Yes</t>
        </is>
      </c>
      <c r="I6" t="n">
        <v>3</v>
      </c>
      <c r="J6" t="n">
        <v>3</v>
      </c>
      <c r="K6" t="n">
        <v>0</v>
      </c>
      <c r="L6" t="inlineStr">
        <is>
          <t>MUST-HAVE</t>
        </is>
      </c>
      <c r="M6" t="inlineStr">
        <is>
          <t>Firm</t>
        </is>
      </c>
      <c r="N6" t="inlineStr">
        <is>
          <t>Built and tested</t>
        </is>
      </c>
      <c r="O6" t="inlineStr">
        <is>
          <t>Matches</t>
        </is>
      </c>
    </row>
    <row r="7">
      <c r="A7" t="inlineStr">
        <is>
          <t>FD-004</t>
        </is>
      </c>
      <c r="B7" t="inlineStr">
        <is>
          <t>Key skills</t>
        </is>
      </c>
      <c r="C7" t="inlineStr">
        <is>
          <t>Profile</t>
        </is>
      </c>
      <c r="D7" t="inlineStr">
        <is>
          <t>General</t>
        </is>
      </c>
      <c r="E7" t="inlineStr">
        <is>
          <t>Yes</t>
        </is>
      </c>
      <c r="F7" t="inlineStr">
        <is>
          <t>Partial</t>
        </is>
      </c>
      <c r="G7" t="inlineStr">
        <is>
          <t>Yes</t>
        </is>
      </c>
      <c r="H7" t="inlineStr">
        <is>
          <t>Yes</t>
        </is>
      </c>
      <c r="I7" t="n">
        <v>3</v>
      </c>
      <c r="J7" t="n">
        <v>3</v>
      </c>
      <c r="K7" t="n">
        <v>0</v>
      </c>
      <c r="L7" t="inlineStr">
        <is>
          <t>MUST-HAVE</t>
        </is>
      </c>
      <c r="M7" t="inlineStr">
        <is>
          <t>Firm</t>
        </is>
      </c>
      <c r="N7" t="inlineStr">
        <is>
          <t>Built and tested</t>
        </is>
      </c>
      <c r="O7" t="inlineStr">
        <is>
          <t>Exceeds</t>
        </is>
      </c>
    </row>
    <row r="8">
      <c r="A8" t="inlineStr">
        <is>
          <t>FD-005</t>
        </is>
      </c>
      <c r="B8" t="inlineStr">
        <is>
          <t>IT skills with software version</t>
        </is>
      </c>
      <c r="C8" t="inlineStr">
        <is>
          <t>Profile</t>
        </is>
      </c>
      <c r="D8" t="inlineStr">
        <is>
          <t>General</t>
        </is>
      </c>
      <c r="E8" t="inlineStr">
        <is>
          <t>Partial</t>
        </is>
      </c>
      <c r="F8" t="inlineStr">
        <is>
          <t>No</t>
        </is>
      </c>
      <c r="G8" t="inlineStr">
        <is>
          <t>No</t>
        </is>
      </c>
      <c r="H8" t="inlineStr">
        <is>
          <t>No</t>
        </is>
      </c>
      <c r="I8" t="n">
        <v>3</v>
      </c>
      <c r="J8" t="n">
        <v>1</v>
      </c>
      <c r="K8" t="n">
        <v>0</v>
      </c>
      <c r="L8" t="inlineStr">
        <is>
          <t>DIFFERENTIATOR</t>
        </is>
      </c>
      <c r="M8" t="inlineStr">
        <is>
          <t>Firm</t>
        </is>
      </c>
      <c r="N8" t="inlineStr">
        <is>
          <t>Built and tested</t>
        </is>
      </c>
      <c r="O8" t="inlineStr">
        <is>
          <t>Matches</t>
        </is>
      </c>
    </row>
    <row r="9">
      <c r="A9" t="inlineStr">
        <is>
          <t>FD-006</t>
        </is>
      </c>
      <c r="B9" t="inlineStr">
        <is>
          <t>Languages</t>
        </is>
      </c>
      <c r="C9" t="inlineStr">
        <is>
          <t>Profile</t>
        </is>
      </c>
      <c r="D9" t="inlineStr">
        <is>
          <t>General</t>
        </is>
      </c>
      <c r="E9" t="inlineStr">
        <is>
          <t>No</t>
        </is>
      </c>
      <c r="F9" t="inlineStr">
        <is>
          <t>Not verified</t>
        </is>
      </c>
      <c r="G9" t="inlineStr">
        <is>
          <t>Yes</t>
        </is>
      </c>
      <c r="H9" t="inlineStr">
        <is>
          <t>No</t>
        </is>
      </c>
      <c r="I9" t="n">
        <v>3</v>
      </c>
      <c r="J9" t="n">
        <v>1</v>
      </c>
      <c r="K9" t="n">
        <v>1</v>
      </c>
      <c r="L9" t="inlineStr">
        <is>
          <t>SHOULD-HAVE</t>
        </is>
      </c>
      <c r="M9" t="inlineStr">
        <is>
          <t>Provisional</t>
        </is>
      </c>
      <c r="N9" t="inlineStr">
        <is>
          <t>Built and tested</t>
        </is>
      </c>
      <c r="O9" t="inlineStr">
        <is>
          <t>Exceeds</t>
        </is>
      </c>
    </row>
    <row r="10">
      <c r="A10" t="inlineStr">
        <is>
          <t>FD-007</t>
        </is>
      </c>
      <c r="B10" t="inlineStr">
        <is>
          <t>Certifications and licences</t>
        </is>
      </c>
      <c r="C10" t="inlineStr">
        <is>
          <t>Profile</t>
        </is>
      </c>
      <c r="D10" t="inlineStr">
        <is>
          <t>General</t>
        </is>
      </c>
      <c r="E10" t="inlineStr">
        <is>
          <t>Partial</t>
        </is>
      </c>
      <c r="F10" t="inlineStr">
        <is>
          <t>Partial</t>
        </is>
      </c>
      <c r="G10" t="inlineStr">
        <is>
          <t>Yes</t>
        </is>
      </c>
      <c r="H10" t="inlineStr">
        <is>
          <t>Not verified</t>
        </is>
      </c>
      <c r="I10" t="n">
        <v>3</v>
      </c>
      <c r="J10" t="n">
        <v>3</v>
      </c>
      <c r="K10" t="n">
        <v>0</v>
      </c>
      <c r="L10" t="inlineStr">
        <is>
          <t>MUST-HAVE</t>
        </is>
      </c>
      <c r="M10" t="inlineStr">
        <is>
          <t>Firm</t>
        </is>
      </c>
      <c r="N10" t="inlineStr">
        <is>
          <t>Built and tested</t>
        </is>
      </c>
      <c r="O10" t="inlineStr">
        <is>
          <t>Matches</t>
        </is>
      </c>
    </row>
    <row r="11">
      <c r="A11" t="inlineStr">
        <is>
          <t>FD-008</t>
        </is>
      </c>
      <c r="B11" t="inlineStr">
        <is>
          <t>Projects</t>
        </is>
      </c>
      <c r="C11" t="inlineStr">
        <is>
          <t>Profile</t>
        </is>
      </c>
      <c r="D11" t="inlineStr">
        <is>
          <t>General</t>
        </is>
      </c>
      <c r="E11" t="inlineStr">
        <is>
          <t>Yes</t>
        </is>
      </c>
      <c r="F11" t="inlineStr">
        <is>
          <t>No</t>
        </is>
      </c>
      <c r="G11" t="inlineStr">
        <is>
          <t>Yes</t>
        </is>
      </c>
      <c r="H11" t="inlineStr">
        <is>
          <t>Not verified</t>
        </is>
      </c>
      <c r="I11" t="n">
        <v>3</v>
      </c>
      <c r="J11" t="n">
        <v>2</v>
      </c>
      <c r="K11" t="n">
        <v>0</v>
      </c>
      <c r="L11" t="inlineStr">
        <is>
          <t>SHOULD-HAVE</t>
        </is>
      </c>
      <c r="M11" t="inlineStr">
        <is>
          <t>Firm</t>
        </is>
      </c>
      <c r="N11" t="inlineStr">
        <is>
          <t>Built and tested</t>
        </is>
      </c>
      <c r="O11" t="inlineStr">
        <is>
          <t>Matches</t>
        </is>
      </c>
    </row>
    <row r="12">
      <c r="A12" t="inlineStr">
        <is>
          <t>FD-009</t>
        </is>
      </c>
      <c r="B12" t="inlineStr">
        <is>
          <t>Accomplishments: publications, patents, work samples</t>
        </is>
      </c>
      <c r="C12" t="inlineStr">
        <is>
          <t>Profile</t>
        </is>
      </c>
      <c r="D12" t="inlineStr">
        <is>
          <t>General</t>
        </is>
      </c>
      <c r="E12" t="inlineStr">
        <is>
          <t>Yes</t>
        </is>
      </c>
      <c r="F12" t="inlineStr">
        <is>
          <t>No</t>
        </is>
      </c>
      <c r="G12" t="inlineStr">
        <is>
          <t>Yes</t>
        </is>
      </c>
      <c r="H12" t="inlineStr">
        <is>
          <t>No</t>
        </is>
      </c>
      <c r="I12" t="n">
        <v>3</v>
      </c>
      <c r="J12" t="n">
        <v>2</v>
      </c>
      <c r="K12" t="n">
        <v>0</v>
      </c>
      <c r="L12" t="inlineStr">
        <is>
          <t>SHOULD-HAVE</t>
        </is>
      </c>
      <c r="M12" t="inlineStr">
        <is>
          <t>Firm</t>
        </is>
      </c>
      <c r="N12" t="inlineStr">
        <is>
          <t>Built and tested</t>
        </is>
      </c>
      <c r="O12" t="inlineStr">
        <is>
          <t>Matches</t>
        </is>
      </c>
    </row>
    <row r="13">
      <c r="A13" t="inlineStr">
        <is>
          <t>FD-010</t>
        </is>
      </c>
      <c r="B13" t="inlineStr">
        <is>
          <t>Volunteering and organisations</t>
        </is>
      </c>
      <c r="C13" t="inlineStr">
        <is>
          <t>Profile</t>
        </is>
      </c>
      <c r="D13" t="inlineStr">
        <is>
          <t>General</t>
        </is>
      </c>
      <c r="E13" t="inlineStr">
        <is>
          <t>No</t>
        </is>
      </c>
      <c r="F13" t="inlineStr">
        <is>
          <t>No</t>
        </is>
      </c>
      <c r="G13" t="inlineStr">
        <is>
          <t>Yes</t>
        </is>
      </c>
      <c r="H13" t="inlineStr">
        <is>
          <t>No</t>
        </is>
      </c>
      <c r="I13" t="n">
        <v>3</v>
      </c>
      <c r="J13" t="n">
        <v>1</v>
      </c>
      <c r="K13" t="n">
        <v>0</v>
      </c>
      <c r="L13" t="inlineStr">
        <is>
          <t>DIFFERENTIATOR</t>
        </is>
      </c>
      <c r="M13" t="inlineStr">
        <is>
          <t>Firm</t>
        </is>
      </c>
      <c r="N13" t="inlineStr">
        <is>
          <t>Built and tested</t>
        </is>
      </c>
      <c r="O13" t="inlineStr">
        <is>
          <t>Matches</t>
        </is>
      </c>
    </row>
    <row r="14">
      <c r="A14" t="inlineStr">
        <is>
          <t>FD-011</t>
        </is>
      </c>
      <c r="B14" t="inlineStr">
        <is>
          <t>Recommendations and endorsements</t>
        </is>
      </c>
      <c r="C14" t="inlineStr">
        <is>
          <t>Profile</t>
        </is>
      </c>
      <c r="D14" t="inlineStr">
        <is>
          <t>General</t>
        </is>
      </c>
      <c r="E14" t="inlineStr">
        <is>
          <t>No</t>
        </is>
      </c>
      <c r="F14" t="inlineStr">
        <is>
          <t>No</t>
        </is>
      </c>
      <c r="G14" t="inlineStr">
        <is>
          <t>Yes</t>
        </is>
      </c>
      <c r="H14" t="inlineStr">
        <is>
          <t>No</t>
        </is>
      </c>
      <c r="I14" t="n">
        <v>3</v>
      </c>
      <c r="J14" t="n">
        <v>1</v>
      </c>
      <c r="K14" t="n">
        <v>0</v>
      </c>
      <c r="L14" t="inlineStr">
        <is>
          <t>DIFFERENTIATOR</t>
        </is>
      </c>
      <c r="M14" t="inlineStr">
        <is>
          <t>Firm</t>
        </is>
      </c>
      <c r="N14" t="inlineStr">
        <is>
          <t>Not built</t>
        </is>
      </c>
      <c r="O14" t="inlineStr">
        <is>
          <t>Falls short</t>
        </is>
      </c>
    </row>
    <row r="15">
      <c r="A15" t="inlineStr">
        <is>
          <t>FD-012</t>
        </is>
      </c>
      <c r="B15" t="inlineStr">
        <is>
          <t>Courses</t>
        </is>
      </c>
      <c r="C15" t="inlineStr">
        <is>
          <t>Profile</t>
        </is>
      </c>
      <c r="D15" t="inlineStr">
        <is>
          <t>General</t>
        </is>
      </c>
      <c r="E15" t="inlineStr">
        <is>
          <t>Not verified</t>
        </is>
      </c>
      <c r="F15" t="inlineStr">
        <is>
          <t>No</t>
        </is>
      </c>
      <c r="G15" t="inlineStr">
        <is>
          <t>Yes</t>
        </is>
      </c>
      <c r="H15" t="inlineStr">
        <is>
          <t>Not verified</t>
        </is>
      </c>
      <c r="I15" t="n">
        <v>3</v>
      </c>
      <c r="J15" t="n">
        <v>1</v>
      </c>
      <c r="K15" t="n">
        <v>1</v>
      </c>
      <c r="L15" t="inlineStr">
        <is>
          <t>SHOULD-HAVE</t>
        </is>
      </c>
      <c r="M15" t="inlineStr">
        <is>
          <t>Provisional</t>
        </is>
      </c>
      <c r="N15" t="inlineStr">
        <is>
          <t>Built</t>
        </is>
      </c>
      <c r="O15" t="inlineStr">
        <is>
          <t>Exceeds</t>
        </is>
      </c>
    </row>
    <row r="16">
      <c r="A16" t="inlineStr">
        <is>
          <t>FD-013</t>
        </is>
      </c>
      <c r="B16" t="inlineStr">
        <is>
          <t>Desired job: type, location, role</t>
        </is>
      </c>
      <c r="C16" t="inlineStr">
        <is>
          <t>Profile</t>
        </is>
      </c>
      <c r="D16" t="inlineStr">
        <is>
          <t>General</t>
        </is>
      </c>
      <c r="E16" t="inlineStr">
        <is>
          <t>Yes</t>
        </is>
      </c>
      <c r="F16" t="inlineStr">
        <is>
          <t>Not verified</t>
        </is>
      </c>
      <c r="G16" t="inlineStr">
        <is>
          <t>Yes</t>
        </is>
      </c>
      <c r="H16" t="inlineStr">
        <is>
          <t>Not verified</t>
        </is>
      </c>
      <c r="I16" t="n">
        <v>3</v>
      </c>
      <c r="J16" t="n">
        <v>2</v>
      </c>
      <c r="K16" t="n">
        <v>1</v>
      </c>
      <c r="L16" t="inlineStr">
        <is>
          <t>SHOULD-HAVE</t>
        </is>
      </c>
      <c r="M16" t="inlineStr">
        <is>
          <t>Provisional</t>
        </is>
      </c>
      <c r="N16" t="inlineStr">
        <is>
          <t>Built and tested</t>
        </is>
      </c>
      <c r="O16" t="inlineStr">
        <is>
          <t>Matches</t>
        </is>
      </c>
    </row>
    <row r="17">
      <c r="A17" t="inlineStr">
        <is>
          <t>FD-014</t>
        </is>
      </c>
      <c r="B17" t="inlineStr">
        <is>
          <t>Open to work signal</t>
        </is>
      </c>
      <c r="C17" t="inlineStr">
        <is>
          <t>Profile</t>
        </is>
      </c>
      <c r="D17" t="inlineStr">
        <is>
          <t>General</t>
        </is>
      </c>
      <c r="E17" t="inlineStr">
        <is>
          <t>Not verified</t>
        </is>
      </c>
      <c r="F17" t="inlineStr">
        <is>
          <t>Not verified</t>
        </is>
      </c>
      <c r="G17" t="inlineStr">
        <is>
          <t>Yes</t>
        </is>
      </c>
      <c r="H17" t="inlineStr">
        <is>
          <t>No</t>
        </is>
      </c>
      <c r="I17" t="n">
        <v>3</v>
      </c>
      <c r="J17" t="n">
        <v>1</v>
      </c>
      <c r="K17" t="n">
        <v>2</v>
      </c>
      <c r="L17" t="inlineStr">
        <is>
          <t>SHOULD-HAVE</t>
        </is>
      </c>
      <c r="M17" t="inlineStr">
        <is>
          <t>Provisional</t>
        </is>
      </c>
      <c r="N17" t="inlineStr">
        <is>
          <t>Built and tested</t>
        </is>
      </c>
      <c r="O17" t="inlineStr">
        <is>
          <t>Matches</t>
        </is>
      </c>
    </row>
    <row r="18">
      <c r="A18" t="inlineStr">
        <is>
          <t>FD-015</t>
        </is>
      </c>
      <c r="B18" t="inlineStr">
        <is>
          <t>Work authorization (right to work in a country)</t>
        </is>
      </c>
      <c r="C18" t="inlineStr">
        <is>
          <t>Profile</t>
        </is>
      </c>
      <c r="D18" t="inlineStr">
        <is>
          <t>General</t>
        </is>
      </c>
      <c r="E18" t="inlineStr">
        <is>
          <t>No</t>
        </is>
      </c>
      <c r="F18" t="inlineStr">
        <is>
          <t>Yes</t>
        </is>
      </c>
      <c r="G18" t="inlineStr">
        <is>
          <t>Partial</t>
        </is>
      </c>
      <c r="H18" t="inlineStr">
        <is>
          <t>No</t>
        </is>
      </c>
      <c r="I18" t="n">
        <v>3</v>
      </c>
      <c r="J18" t="n">
        <v>2</v>
      </c>
      <c r="K18" t="n">
        <v>0</v>
      </c>
      <c r="L18" t="inlineStr">
        <is>
          <t>SHOULD-HAVE</t>
        </is>
      </c>
      <c r="M18" t="inlineStr">
        <is>
          <t>Firm</t>
        </is>
      </c>
      <c r="N18" t="inlineStr">
        <is>
          <t>Not built</t>
        </is>
      </c>
      <c r="O18" t="inlineStr">
        <is>
          <t>Falls short</t>
        </is>
      </c>
    </row>
    <row r="19">
      <c r="A19" t="inlineStr">
        <is>
          <t>FD-016</t>
        </is>
      </c>
      <c r="B19" t="inlineStr">
        <is>
          <t>Profile completeness</t>
        </is>
      </c>
      <c r="C19" t="inlineStr">
        <is>
          <t>Profile</t>
        </is>
      </c>
      <c r="D19" t="inlineStr">
        <is>
          <t>General</t>
        </is>
      </c>
      <c r="E19" t="inlineStr">
        <is>
          <t>Yes</t>
        </is>
      </c>
      <c r="F19" t="inlineStr">
        <is>
          <t>Yes</t>
        </is>
      </c>
      <c r="G19" t="inlineStr">
        <is>
          <t>Partial</t>
        </is>
      </c>
      <c r="H19" t="inlineStr">
        <is>
          <t>Not verified</t>
        </is>
      </c>
      <c r="I19" t="n">
        <v>3</v>
      </c>
      <c r="J19" t="n">
        <v>3</v>
      </c>
      <c r="K19" t="n">
        <v>0</v>
      </c>
      <c r="L19" t="inlineStr">
        <is>
          <t>MUST-HAVE</t>
        </is>
      </c>
      <c r="M19" t="inlineStr">
        <is>
          <t>Firm</t>
        </is>
      </c>
      <c r="N19" t="inlineStr">
        <is>
          <t>Built</t>
        </is>
      </c>
      <c r="O19" t="inlineStr">
        <is>
          <t>Exceeds</t>
        </is>
      </c>
    </row>
    <row r="20">
      <c r="A20" t="inlineStr">
        <is>
          <t>FD-017</t>
        </is>
      </c>
      <c r="B20" t="inlineStr">
        <is>
          <t>Profile photo</t>
        </is>
      </c>
      <c r="C20" t="inlineStr">
        <is>
          <t>Profile</t>
        </is>
      </c>
      <c r="D20" t="inlineStr">
        <is>
          <t>General</t>
        </is>
      </c>
      <c r="E20" t="inlineStr">
        <is>
          <t>Yes</t>
        </is>
      </c>
      <c r="F20" t="inlineStr">
        <is>
          <t>No</t>
        </is>
      </c>
      <c r="G20" t="inlineStr">
        <is>
          <t>Yes</t>
        </is>
      </c>
      <c r="H20" t="inlineStr">
        <is>
          <t>Not verified</t>
        </is>
      </c>
      <c r="I20" t="n">
        <v>3</v>
      </c>
      <c r="J20" t="n">
        <v>2</v>
      </c>
      <c r="K20" t="n">
        <v>0</v>
      </c>
      <c r="L20" t="inlineStr">
        <is>
          <t>SHOULD-HAVE</t>
        </is>
      </c>
      <c r="M20" t="inlineStr">
        <is>
          <t>Firm</t>
        </is>
      </c>
      <c r="N20" t="inlineStr">
        <is>
          <t>Built and tested</t>
        </is>
      </c>
      <c r="O20" t="inlineStr">
        <is>
          <t>Matches</t>
        </is>
      </c>
    </row>
    <row r="21">
      <c r="A21" t="inlineStr">
        <is>
          <t>FD-018</t>
        </is>
      </c>
      <c r="B21" t="inlineStr">
        <is>
          <t>Personal details (date of birth, gender, address, contacts)</t>
        </is>
      </c>
      <c r="C21" t="inlineStr">
        <is>
          <t>Profile</t>
        </is>
      </c>
      <c r="D21" t="inlineStr">
        <is>
          <t>General</t>
        </is>
      </c>
      <c r="E21" t="inlineStr">
        <is>
          <t>Yes</t>
        </is>
      </c>
      <c r="F21" t="inlineStr">
        <is>
          <t>Yes</t>
        </is>
      </c>
      <c r="G21" t="inlineStr">
        <is>
          <t>Partial</t>
        </is>
      </c>
      <c r="H21" t="inlineStr">
        <is>
          <t>Yes</t>
        </is>
      </c>
      <c r="I21" t="n">
        <v>3</v>
      </c>
      <c r="J21" t="n">
        <v>3</v>
      </c>
      <c r="K21" t="n">
        <v>0</v>
      </c>
      <c r="L21" t="inlineStr">
        <is>
          <t>MUST-HAVE</t>
        </is>
      </c>
      <c r="M21" t="inlineStr">
        <is>
          <t>Firm</t>
        </is>
      </c>
      <c r="N21" t="inlineStr">
        <is>
          <t>Built and tested</t>
        </is>
      </c>
      <c r="O21" t="inlineStr">
        <is>
          <t>Matches</t>
        </is>
      </c>
    </row>
    <row r="22">
      <c r="A22" t="inlineStr">
        <is>
          <t>FD-019</t>
        </is>
      </c>
      <c r="B22" t="inlineStr">
        <is>
          <t>Identity verification</t>
        </is>
      </c>
      <c r="C22" t="inlineStr">
        <is>
          <t>Profile</t>
        </is>
      </c>
      <c r="D22" t="inlineStr">
        <is>
          <t>General</t>
        </is>
      </c>
      <c r="E22" t="inlineStr">
        <is>
          <t>Not verified</t>
        </is>
      </c>
      <c r="F22" t="inlineStr">
        <is>
          <t>No</t>
        </is>
      </c>
      <c r="G22" t="inlineStr">
        <is>
          <t>Yes</t>
        </is>
      </c>
      <c r="H22" t="inlineStr">
        <is>
          <t>No</t>
        </is>
      </c>
      <c r="I22" t="n">
        <v>3</v>
      </c>
      <c r="J22" t="n">
        <v>1</v>
      </c>
      <c r="K22" t="n">
        <v>1</v>
      </c>
      <c r="L22" t="inlineStr">
        <is>
          <t>SHOULD-HAVE</t>
        </is>
      </c>
      <c r="M22" t="inlineStr">
        <is>
          <t>Provisional</t>
        </is>
      </c>
      <c r="N22" t="inlineStr">
        <is>
          <t>Built and tested</t>
        </is>
      </c>
      <c r="O22" t="inlineStr">
        <is>
          <t>Matches</t>
        </is>
      </c>
    </row>
    <row r="23">
      <c r="A23" t="inlineStr">
        <is>
          <t>FD-020</t>
        </is>
      </c>
      <c r="B23" t="inlineStr">
        <is>
          <t>Names in any script, translated UI text</t>
        </is>
      </c>
      <c r="C23" t="inlineStr">
        <is>
          <t>Profile</t>
        </is>
      </c>
      <c r="D23" t="inlineStr">
        <is>
          <t>General</t>
        </is>
      </c>
      <c r="E23" t="inlineStr">
        <is>
          <t>Not verified</t>
        </is>
      </c>
      <c r="F23" t="inlineStr">
        <is>
          <t>No</t>
        </is>
      </c>
      <c r="G23" t="inlineStr">
        <is>
          <t>Yes</t>
        </is>
      </c>
      <c r="H23" t="inlineStr">
        <is>
          <t>No</t>
        </is>
      </c>
      <c r="I23" t="n">
        <v>3</v>
      </c>
      <c r="J23" t="n">
        <v>1</v>
      </c>
      <c r="K23" t="n">
        <v>1</v>
      </c>
      <c r="L23" t="inlineStr">
        <is>
          <t>SHOULD-HAVE</t>
        </is>
      </c>
      <c r="M23" t="inlineStr">
        <is>
          <t>Provisional</t>
        </is>
      </c>
      <c r="N23" t="inlineStr">
        <is>
          <t>Built and tested</t>
        </is>
      </c>
      <c r="O23" t="inlineStr">
        <is>
          <t>Exceeds</t>
        </is>
      </c>
    </row>
    <row r="24">
      <c r="A24" t="inlineStr">
        <is>
          <t>FD-021</t>
        </is>
      </c>
      <c r="B24" t="inlineStr">
        <is>
          <t>Duplicate profile tracking</t>
        </is>
      </c>
      <c r="C24" t="inlineStr">
        <is>
          <t>Profile</t>
        </is>
      </c>
      <c r="D24" t="inlineStr">
        <is>
          <t>General</t>
        </is>
      </c>
      <c r="E24" t="inlineStr">
        <is>
          <t>No</t>
        </is>
      </c>
      <c r="F24" t="inlineStr">
        <is>
          <t>No</t>
        </is>
      </c>
      <c r="G24" t="inlineStr">
        <is>
          <t>No</t>
        </is>
      </c>
      <c r="H24" t="inlineStr">
        <is>
          <t>No</t>
        </is>
      </c>
      <c r="I24" t="n">
        <v>3</v>
      </c>
      <c r="J24" t="n">
        <v>0</v>
      </c>
      <c r="K24" t="n">
        <v>0</v>
      </c>
      <c r="L24" t="inlineStr">
        <is>
          <t>DIFFERENTIATOR</t>
        </is>
      </c>
      <c r="M24" t="inlineStr">
        <is>
          <t>Firm</t>
        </is>
      </c>
      <c r="N24" t="inlineStr">
        <is>
          <t>Built and tested</t>
        </is>
      </c>
      <c r="O24" t="inlineStr">
        <is>
          <t>Exceeds</t>
        </is>
      </c>
    </row>
    <row r="25">
      <c r="A25" t="inlineStr">
        <is>
          <t>FD-022</t>
        </is>
      </c>
      <c r="B25" t="inlineStr">
        <is>
          <t>Resume upload and builder</t>
        </is>
      </c>
      <c r="C25" t="inlineStr">
        <is>
          <t>Profile</t>
        </is>
      </c>
      <c r="D25" t="inlineStr">
        <is>
          <t>General</t>
        </is>
      </c>
      <c r="E25" t="inlineStr">
        <is>
          <t>Yes</t>
        </is>
      </c>
      <c r="F25" t="inlineStr">
        <is>
          <t>Yes</t>
        </is>
      </c>
      <c r="G25" t="inlineStr">
        <is>
          <t>Partial</t>
        </is>
      </c>
      <c r="H25" t="inlineStr">
        <is>
          <t>Not verified</t>
        </is>
      </c>
      <c r="I25" t="n">
        <v>3</v>
      </c>
      <c r="J25" t="n">
        <v>3</v>
      </c>
      <c r="K25" t="n">
        <v>0</v>
      </c>
      <c r="L25" t="inlineStr">
        <is>
          <t>MUST-HAVE</t>
        </is>
      </c>
      <c r="M25" t="inlineStr">
        <is>
          <t>Firm</t>
        </is>
      </c>
      <c r="N25" t="inlineStr">
        <is>
          <t>Built and tested</t>
        </is>
      </c>
      <c r="O25" t="inlineStr">
        <is>
          <t>Matches</t>
        </is>
      </c>
    </row>
    <row r="26">
      <c r="A26" t="inlineStr">
        <is>
          <t>FD-023</t>
        </is>
      </c>
      <c r="B26" t="inlineStr">
        <is>
          <t>Several resumes per person</t>
        </is>
      </c>
      <c r="C26" t="inlineStr">
        <is>
          <t>Profile</t>
        </is>
      </c>
      <c r="D26" t="inlineStr">
        <is>
          <t>General</t>
        </is>
      </c>
      <c r="E26" t="inlineStr">
        <is>
          <t>Partial</t>
        </is>
      </c>
      <c r="F26" t="inlineStr">
        <is>
          <t>No</t>
        </is>
      </c>
      <c r="G26" t="inlineStr">
        <is>
          <t>No</t>
        </is>
      </c>
      <c r="H26" t="inlineStr">
        <is>
          <t>Not verified</t>
        </is>
      </c>
      <c r="I26" t="n">
        <v>3</v>
      </c>
      <c r="J26" t="n">
        <v>1</v>
      </c>
      <c r="K26" t="n">
        <v>0</v>
      </c>
      <c r="L26" t="inlineStr">
        <is>
          <t>DIFFERENTIATOR</t>
        </is>
      </c>
      <c r="M26" t="inlineStr">
        <is>
          <t>Firm</t>
        </is>
      </c>
      <c r="N26" t="inlineStr">
        <is>
          <t>Built and tested</t>
        </is>
      </c>
      <c r="O26" t="inlineStr">
        <is>
          <t>Exceeds</t>
        </is>
      </c>
    </row>
    <row r="27">
      <c r="A27" t="inlineStr">
        <is>
          <t>FD-024</t>
        </is>
      </c>
      <c r="B27" t="inlineStr">
        <is>
          <t>Confidential resume (hide contact and current employer)</t>
        </is>
      </c>
      <c r="C27" t="inlineStr">
        <is>
          <t>Profile</t>
        </is>
      </c>
      <c r="D27" t="inlineStr">
        <is>
          <t>General</t>
        </is>
      </c>
      <c r="E27" t="inlineStr">
        <is>
          <t>Not verified</t>
        </is>
      </c>
      <c r="F27" t="inlineStr">
        <is>
          <t>Yes</t>
        </is>
      </c>
      <c r="G27" t="inlineStr">
        <is>
          <t>Partial</t>
        </is>
      </c>
      <c r="H27" t="inlineStr">
        <is>
          <t>Not verified</t>
        </is>
      </c>
      <c r="I27" t="n">
        <v>3</v>
      </c>
      <c r="J27" t="n">
        <v>2</v>
      </c>
      <c r="K27" t="n">
        <v>1</v>
      </c>
      <c r="L27" t="inlineStr">
        <is>
          <t>SHOULD-HAVE</t>
        </is>
      </c>
      <c r="M27" t="inlineStr">
        <is>
          <t>Provisional</t>
        </is>
      </c>
      <c r="N27" t="inlineStr">
        <is>
          <t>Built and tested</t>
        </is>
      </c>
      <c r="O27" t="inlineStr">
        <is>
          <t>Matches</t>
        </is>
      </c>
    </row>
    <row r="28">
      <c r="A28" t="inlineStr">
        <is>
          <t>FD-025</t>
        </is>
      </c>
      <c r="B28" t="inlineStr">
        <is>
          <t>Resume database search with 20+ filters</t>
        </is>
      </c>
      <c r="C28" t="inlineStr">
        <is>
          <t>Search</t>
        </is>
      </c>
      <c r="D28" t="inlineStr">
        <is>
          <t>General</t>
        </is>
      </c>
      <c r="E28" t="inlineStr">
        <is>
          <t>Yes</t>
        </is>
      </c>
      <c r="F28" t="inlineStr">
        <is>
          <t>Yes</t>
        </is>
      </c>
      <c r="G28" t="inlineStr">
        <is>
          <t>Yes</t>
        </is>
      </c>
      <c r="H28" t="inlineStr">
        <is>
          <t>Not verified</t>
        </is>
      </c>
      <c r="I28" t="n">
        <v>3</v>
      </c>
      <c r="J28" t="n">
        <v>3</v>
      </c>
      <c r="K28" t="n">
        <v>0</v>
      </c>
      <c r="L28" t="inlineStr">
        <is>
          <t>MUST-HAVE</t>
        </is>
      </c>
      <c r="M28" t="inlineStr">
        <is>
          <t>Firm</t>
        </is>
      </c>
      <c r="N28" t="inlineStr">
        <is>
          <t>Built</t>
        </is>
      </c>
      <c r="O28" t="inlineStr">
        <is>
          <t>Matches</t>
        </is>
      </c>
    </row>
    <row r="29">
      <c r="A29" t="inlineStr">
        <is>
          <t>FD-026</t>
        </is>
      </c>
      <c r="B29" t="inlineStr">
        <is>
          <t>Credits for viewing, calling, forwarding a profile</t>
        </is>
      </c>
      <c r="C29" t="inlineStr">
        <is>
          <t>Licences, subscriptions and wallet</t>
        </is>
      </c>
      <c r="D29" t="inlineStr">
        <is>
          <t>General</t>
        </is>
      </c>
      <c r="E29" t="inlineStr">
        <is>
          <t>Yes</t>
        </is>
      </c>
      <c r="F29" t="inlineStr">
        <is>
          <t>Yes</t>
        </is>
      </c>
      <c r="G29" t="inlineStr">
        <is>
          <t>Partial</t>
        </is>
      </c>
      <c r="H29" t="inlineStr">
        <is>
          <t>Not verified</t>
        </is>
      </c>
      <c r="I29" t="n">
        <v>3</v>
      </c>
      <c r="J29" t="n">
        <v>3</v>
      </c>
      <c r="K29" t="n">
        <v>0</v>
      </c>
      <c r="L29" t="inlineStr">
        <is>
          <t>MUST-HAVE</t>
        </is>
      </c>
      <c r="M29" t="inlineStr">
        <is>
          <t>Firm</t>
        </is>
      </c>
      <c r="N29" t="inlineStr">
        <is>
          <t>Built and tested</t>
        </is>
      </c>
      <c r="O29" t="inlineStr">
        <is>
          <t>Matches</t>
        </is>
      </c>
    </row>
    <row r="30">
      <c r="A30" t="inlineStr">
        <is>
          <t>FD-027</t>
        </is>
      </c>
      <c r="B30" t="inlineStr">
        <is>
          <t>Repeat access within 90 days costs no extra credit</t>
        </is>
      </c>
      <c r="C30" t="inlineStr">
        <is>
          <t>Licences, subscriptions and wallet</t>
        </is>
      </c>
      <c r="D30" t="inlineStr">
        <is>
          <t>General</t>
        </is>
      </c>
      <c r="E30" t="inlineStr">
        <is>
          <t>Yes</t>
        </is>
      </c>
      <c r="F30" t="inlineStr">
        <is>
          <t>Partial</t>
        </is>
      </c>
      <c r="G30" t="inlineStr">
        <is>
          <t>No</t>
        </is>
      </c>
      <c r="H30" t="inlineStr">
        <is>
          <t>Not verified</t>
        </is>
      </c>
      <c r="I30" t="n">
        <v>3</v>
      </c>
      <c r="J30" t="n">
        <v>2</v>
      </c>
      <c r="K30" t="n">
        <v>0</v>
      </c>
      <c r="L30" t="inlineStr">
        <is>
          <t>SHOULD-HAVE</t>
        </is>
      </c>
      <c r="M30" t="inlineStr">
        <is>
          <t>Firm</t>
        </is>
      </c>
      <c r="N30" t="inlineStr">
        <is>
          <t>Built and tested</t>
        </is>
      </c>
      <c r="O30" t="inlineStr">
        <is>
          <t>Matches</t>
        </is>
      </c>
    </row>
    <row r="31">
      <c r="A31" t="inlineStr">
        <is>
          <t>FD-028</t>
        </is>
      </c>
      <c r="B31" t="inlineStr">
        <is>
          <t>Bulk email, up to 160 resumes at a time</t>
        </is>
      </c>
      <c r="C31" t="inlineStr">
        <is>
          <t>Consultants and sourcing</t>
        </is>
      </c>
      <c r="D31" t="inlineStr">
        <is>
          <t>General</t>
        </is>
      </c>
      <c r="E31" t="inlineStr">
        <is>
          <t>Yes</t>
        </is>
      </c>
      <c r="F31" t="inlineStr">
        <is>
          <t>Yes</t>
        </is>
      </c>
      <c r="G31" t="inlineStr">
        <is>
          <t>Yes</t>
        </is>
      </c>
      <c r="H31" t="inlineStr">
        <is>
          <t>Not verified</t>
        </is>
      </c>
      <c r="I31" t="n">
        <v>3</v>
      </c>
      <c r="J31" t="n">
        <v>3</v>
      </c>
      <c r="K31" t="n">
        <v>0</v>
      </c>
      <c r="L31" t="inlineStr">
        <is>
          <t>MUST-HAVE</t>
        </is>
      </c>
      <c r="M31" t="inlineStr">
        <is>
          <t>Firm</t>
        </is>
      </c>
      <c r="N31" t="inlineStr">
        <is>
          <t>Deliberately left out</t>
        </is>
      </c>
      <c r="O31" t="inlineStr">
        <is>
          <t>Falls short</t>
        </is>
      </c>
    </row>
    <row r="32">
      <c r="A32" t="inlineStr">
        <is>
          <t>FD-029</t>
        </is>
      </c>
      <c r="B32" t="inlineStr">
        <is>
          <t>Folders of accessed or saved candidates</t>
        </is>
      </c>
      <c r="C32" t="inlineStr">
        <is>
          <t>Hiring workflow</t>
        </is>
      </c>
      <c r="D32" t="inlineStr">
        <is>
          <t>General</t>
        </is>
      </c>
      <c r="E32" t="inlineStr">
        <is>
          <t>Yes</t>
        </is>
      </c>
      <c r="F32" t="inlineStr">
        <is>
          <t>Yes</t>
        </is>
      </c>
      <c r="G32" t="inlineStr">
        <is>
          <t>Yes</t>
        </is>
      </c>
      <c r="H32" t="inlineStr">
        <is>
          <t>Not verified</t>
        </is>
      </c>
      <c r="I32" t="n">
        <v>3</v>
      </c>
      <c r="J32" t="n">
        <v>3</v>
      </c>
      <c r="K32" t="n">
        <v>0</v>
      </c>
      <c r="L32" t="inlineStr">
        <is>
          <t>MUST-HAVE</t>
        </is>
      </c>
      <c r="M32" t="inlineStr">
        <is>
          <t>Firm</t>
        </is>
      </c>
      <c r="N32" t="inlineStr">
        <is>
          <t>Built</t>
        </is>
      </c>
      <c r="O32" t="inlineStr">
        <is>
          <t>Matches</t>
        </is>
      </c>
    </row>
    <row r="33">
      <c r="A33" t="inlineStr">
        <is>
          <t>FD-030</t>
        </is>
      </c>
      <c r="B33" t="inlineStr">
        <is>
          <t>Who viewed which profile, and when</t>
        </is>
      </c>
      <c r="C33" t="inlineStr">
        <is>
          <t>Profile</t>
        </is>
      </c>
      <c r="D33" t="inlineStr">
        <is>
          <t>General</t>
        </is>
      </c>
      <c r="E33" t="inlineStr">
        <is>
          <t>Yes</t>
        </is>
      </c>
      <c r="F33" t="inlineStr">
        <is>
          <t>Not verified</t>
        </is>
      </c>
      <c r="G33" t="inlineStr">
        <is>
          <t>Yes</t>
        </is>
      </c>
      <c r="H33" t="inlineStr">
        <is>
          <t>Not verified</t>
        </is>
      </c>
      <c r="I33" t="n">
        <v>3</v>
      </c>
      <c r="J33" t="n">
        <v>2</v>
      </c>
      <c r="K33" t="n">
        <v>1</v>
      </c>
      <c r="L33" t="inlineStr">
        <is>
          <t>SHOULD-HAVE</t>
        </is>
      </c>
      <c r="M33" t="inlineStr">
        <is>
          <t>Provisional</t>
        </is>
      </c>
      <c r="N33" t="inlineStr">
        <is>
          <t>Built and tested</t>
        </is>
      </c>
      <c r="O33" t="inlineStr">
        <is>
          <t>Matches</t>
        </is>
      </c>
    </row>
    <row r="34">
      <c r="A34" t="inlineStr">
        <is>
          <t>FD-031</t>
        </is>
      </c>
      <c r="B34" t="inlineStr">
        <is>
          <t>Download history with credit charge</t>
        </is>
      </c>
      <c r="C34" t="inlineStr">
        <is>
          <t>Licences, subscriptions and wallet</t>
        </is>
      </c>
      <c r="D34" t="inlineStr">
        <is>
          <t>General</t>
        </is>
      </c>
      <c r="E34" t="inlineStr">
        <is>
          <t>Partial</t>
        </is>
      </c>
      <c r="F34" t="inlineStr">
        <is>
          <t>Not verified</t>
        </is>
      </c>
      <c r="G34" t="inlineStr">
        <is>
          <t>No</t>
        </is>
      </c>
      <c r="H34" t="inlineStr">
        <is>
          <t>Not verified</t>
        </is>
      </c>
      <c r="I34" t="n">
        <v>3</v>
      </c>
      <c r="J34" t="n">
        <v>1</v>
      </c>
      <c r="K34" t="n">
        <v>1</v>
      </c>
      <c r="L34" t="inlineStr">
        <is>
          <t>SHOULD-HAVE</t>
        </is>
      </c>
      <c r="M34" t="inlineStr">
        <is>
          <t>Provisional</t>
        </is>
      </c>
      <c r="N34" t="inlineStr">
        <is>
          <t>Built and tested</t>
        </is>
      </c>
      <c r="O34" t="inlineStr">
        <is>
          <t>Matches</t>
        </is>
      </c>
    </row>
    <row r="35">
      <c r="A35" t="inlineStr">
        <is>
          <t>FD-032</t>
        </is>
      </c>
      <c r="B35" t="inlineStr">
        <is>
          <t>Team users, seats, device limits</t>
        </is>
      </c>
      <c r="C35" t="inlineStr">
        <is>
          <t>Licences, subscriptions and wallet</t>
        </is>
      </c>
      <c r="D35" t="inlineStr">
        <is>
          <t>General</t>
        </is>
      </c>
      <c r="E35" t="inlineStr">
        <is>
          <t>Partial</t>
        </is>
      </c>
      <c r="F35" t="inlineStr">
        <is>
          <t>Not verified</t>
        </is>
      </c>
      <c r="G35" t="inlineStr">
        <is>
          <t>Partial</t>
        </is>
      </c>
      <c r="H35" t="inlineStr">
        <is>
          <t>Not verified</t>
        </is>
      </c>
      <c r="I35" t="n">
        <v>3</v>
      </c>
      <c r="J35" t="n">
        <v>2</v>
      </c>
      <c r="K35" t="n">
        <v>1</v>
      </c>
      <c r="L35" t="inlineStr">
        <is>
          <t>SHOULD-HAVE</t>
        </is>
      </c>
      <c r="M35" t="inlineStr">
        <is>
          <t>Provisional</t>
        </is>
      </c>
      <c r="N35" t="inlineStr">
        <is>
          <t>Built and tested</t>
        </is>
      </c>
      <c r="O35" t="inlineStr">
        <is>
          <t>Exceeds</t>
        </is>
      </c>
    </row>
    <row r="36">
      <c r="A36" t="inlineStr">
        <is>
          <t>FD-033</t>
        </is>
      </c>
      <c r="B36" t="inlineStr">
        <is>
          <t>Company details, locations, tax ids, verification</t>
        </is>
      </c>
      <c r="C36" t="inlineStr">
        <is>
          <t>Organisation and admin</t>
        </is>
      </c>
      <c r="D36" t="inlineStr">
        <is>
          <t>General</t>
        </is>
      </c>
      <c r="E36" t="inlineStr">
        <is>
          <t>Not verified</t>
        </is>
      </c>
      <c r="F36" t="inlineStr">
        <is>
          <t>Not verified</t>
        </is>
      </c>
      <c r="G36" t="inlineStr">
        <is>
          <t>Yes</t>
        </is>
      </c>
      <c r="H36" t="inlineStr">
        <is>
          <t>Not verified</t>
        </is>
      </c>
      <c r="I36" t="n">
        <v>3</v>
      </c>
      <c r="J36" t="n">
        <v>1</v>
      </c>
      <c r="K36" t="n">
        <v>2</v>
      </c>
      <c r="L36" t="inlineStr">
        <is>
          <t>SHOULD-HAVE</t>
        </is>
      </c>
      <c r="M36" t="inlineStr">
        <is>
          <t>Provisional</t>
        </is>
      </c>
      <c r="N36" t="inlineStr">
        <is>
          <t>Built and tested</t>
        </is>
      </c>
      <c r="O36" t="inlineStr">
        <is>
          <t>Matches</t>
        </is>
      </c>
    </row>
    <row r="37">
      <c r="A37" t="inlineStr">
        <is>
          <t>FD-034</t>
        </is>
      </c>
      <c r="B37" t="inlineStr">
        <is>
          <t>Company reviews and salary data</t>
        </is>
      </c>
      <c r="C37" t="inlineStr">
        <is>
          <t>Organisation and admin</t>
        </is>
      </c>
      <c r="D37" t="inlineStr">
        <is>
          <t>General</t>
        </is>
      </c>
      <c r="E37" t="inlineStr">
        <is>
          <t>Partial</t>
        </is>
      </c>
      <c r="F37" t="inlineStr">
        <is>
          <t>Not verified</t>
        </is>
      </c>
      <c r="G37" t="inlineStr">
        <is>
          <t>Partial</t>
        </is>
      </c>
      <c r="H37" t="inlineStr">
        <is>
          <t>No</t>
        </is>
      </c>
      <c r="I37" t="n">
        <v>3</v>
      </c>
      <c r="J37" t="n">
        <v>2</v>
      </c>
      <c r="K37" t="n">
        <v>1</v>
      </c>
      <c r="L37" t="inlineStr">
        <is>
          <t>SHOULD-HAVE</t>
        </is>
      </c>
      <c r="M37" t="inlineStr">
        <is>
          <t>Provisional</t>
        </is>
      </c>
      <c r="N37" t="inlineStr">
        <is>
          <t>Deliberately left out</t>
        </is>
      </c>
      <c r="O37" t="inlineStr">
        <is>
          <t>Falls short</t>
        </is>
      </c>
    </row>
    <row r="38">
      <c r="A38" t="inlineStr">
        <is>
          <t>FD-035</t>
        </is>
      </c>
      <c r="B38" t="inlineStr">
        <is>
          <t>Credits that expire (monthly allowance)</t>
        </is>
      </c>
      <c r="C38" t="inlineStr">
        <is>
          <t>Licences, subscriptions and wallet</t>
        </is>
      </c>
      <c r="D38" t="inlineStr">
        <is>
          <t>General</t>
        </is>
      </c>
      <c r="E38" t="inlineStr">
        <is>
          <t>Not verified</t>
        </is>
      </c>
      <c r="F38" t="inlineStr">
        <is>
          <t>Yes</t>
        </is>
      </c>
      <c r="G38" t="inlineStr">
        <is>
          <t>No</t>
        </is>
      </c>
      <c r="H38" t="inlineStr">
        <is>
          <t>Not verified</t>
        </is>
      </c>
      <c r="I38" t="n">
        <v>3</v>
      </c>
      <c r="J38" t="n">
        <v>1</v>
      </c>
      <c r="K38" t="n">
        <v>1</v>
      </c>
      <c r="L38" t="inlineStr">
        <is>
          <t>SHOULD-HAVE</t>
        </is>
      </c>
      <c r="M38" t="inlineStr">
        <is>
          <t>Provisional</t>
        </is>
      </c>
      <c r="N38" t="inlineStr">
        <is>
          <t>Built and tested</t>
        </is>
      </c>
      <c r="O38" t="inlineStr">
        <is>
          <t>Matches</t>
        </is>
      </c>
    </row>
    <row r="39">
      <c r="A39" t="inlineStr">
        <is>
          <t>FD-036</t>
        </is>
      </c>
      <c r="B39" t="inlineStr">
        <is>
          <t>Employer saved searches with email alerts on new matches</t>
        </is>
      </c>
      <c r="C39" t="inlineStr">
        <is>
          <t>Search</t>
        </is>
      </c>
      <c r="D39" t="inlineStr">
        <is>
          <t>General</t>
        </is>
      </c>
      <c r="E39" t="inlineStr">
        <is>
          <t>Yes</t>
        </is>
      </c>
      <c r="F39" t="inlineStr">
        <is>
          <t>Yes</t>
        </is>
      </c>
      <c r="G39" t="inlineStr">
        <is>
          <t>Yes</t>
        </is>
      </c>
      <c r="H39" t="inlineStr">
        <is>
          <t>Not verified</t>
        </is>
      </c>
      <c r="I39" t="n">
        <v>3</v>
      </c>
      <c r="J39" t="n">
        <v>3</v>
      </c>
      <c r="K39" t="n">
        <v>0</v>
      </c>
      <c r="L39" t="inlineStr">
        <is>
          <t>MUST-HAVE</t>
        </is>
      </c>
      <c r="M39" t="inlineStr">
        <is>
          <t>Firm</t>
        </is>
      </c>
      <c r="N39" t="inlineStr">
        <is>
          <t>Not built</t>
        </is>
      </c>
      <c r="O39" t="inlineStr">
        <is>
          <t>Falls short</t>
        </is>
      </c>
    </row>
    <row r="40">
      <c r="A40" t="inlineStr">
        <is>
          <t>FD-037</t>
        </is>
      </c>
      <c r="B40" t="inlineStr">
        <is>
          <t>Job posting with skills, qualifications, locations, experience range, salary</t>
        </is>
      </c>
      <c r="C40" t="inlineStr">
        <is>
          <t>Jobs</t>
        </is>
      </c>
      <c r="D40" t="inlineStr">
        <is>
          <t>General</t>
        </is>
      </c>
      <c r="E40" t="inlineStr">
        <is>
          <t>Not verified</t>
        </is>
      </c>
      <c r="F40" t="inlineStr">
        <is>
          <t>Not verified</t>
        </is>
      </c>
      <c r="G40" t="inlineStr">
        <is>
          <t>Partial</t>
        </is>
      </c>
      <c r="H40" t="inlineStr">
        <is>
          <t>Not verified</t>
        </is>
      </c>
      <c r="I40" t="n">
        <v>3</v>
      </c>
      <c r="J40" t="n">
        <v>1</v>
      </c>
      <c r="K40" t="n">
        <v>2</v>
      </c>
      <c r="L40" t="inlineStr">
        <is>
          <t>SHOULD-HAVE</t>
        </is>
      </c>
      <c r="M40" t="inlineStr">
        <is>
          <t>Provisional</t>
        </is>
      </c>
      <c r="N40" t="inlineStr">
        <is>
          <t>Built and tested</t>
        </is>
      </c>
      <c r="O40" t="inlineStr">
        <is>
          <t>Matches</t>
        </is>
      </c>
    </row>
    <row r="41">
      <c r="A41" t="inlineStr">
        <is>
          <t>FD-038</t>
        </is>
      </c>
      <c r="B41" t="inlineStr">
        <is>
          <t>Several positions in one posting</t>
        </is>
      </c>
      <c r="C41" t="inlineStr">
        <is>
          <t>Jobs</t>
        </is>
      </c>
      <c r="D41" t="inlineStr">
        <is>
          <t>General</t>
        </is>
      </c>
      <c r="E41" t="inlineStr">
        <is>
          <t>Not verified</t>
        </is>
      </c>
      <c r="F41" t="inlineStr">
        <is>
          <t>Not verified</t>
        </is>
      </c>
      <c r="G41" t="inlineStr">
        <is>
          <t>No</t>
        </is>
      </c>
      <c r="H41" t="inlineStr">
        <is>
          <t>Not verified</t>
        </is>
      </c>
      <c r="I41" t="n">
        <v>3</v>
      </c>
      <c r="J41" t="n">
        <v>0</v>
      </c>
      <c r="K41" t="n">
        <v>2</v>
      </c>
      <c r="L41" t="inlineStr">
        <is>
          <t>SHOULD-HAVE</t>
        </is>
      </c>
      <c r="M41" t="inlineStr">
        <is>
          <t>Provisional</t>
        </is>
      </c>
      <c r="N41" t="inlineStr">
        <is>
          <t>Built and tested</t>
        </is>
      </c>
      <c r="O41" t="inlineStr">
        <is>
          <t>Matches</t>
        </is>
      </c>
    </row>
    <row r="42">
      <c r="A42" t="inlineStr">
        <is>
          <t>FD-039</t>
        </is>
      </c>
      <c r="B42" t="inlineStr">
        <is>
          <t>Screening questions</t>
        </is>
      </c>
      <c r="C42" t="inlineStr">
        <is>
          <t>Applications</t>
        </is>
      </c>
      <c r="D42" t="inlineStr">
        <is>
          <t>General</t>
        </is>
      </c>
      <c r="E42" t="inlineStr">
        <is>
          <t>Yes</t>
        </is>
      </c>
      <c r="F42" t="inlineStr">
        <is>
          <t>Yes</t>
        </is>
      </c>
      <c r="G42" t="inlineStr">
        <is>
          <t>Yes</t>
        </is>
      </c>
      <c r="H42" t="inlineStr">
        <is>
          <t>Not verified</t>
        </is>
      </c>
      <c r="I42" t="n">
        <v>3</v>
      </c>
      <c r="J42" t="n">
        <v>3</v>
      </c>
      <c r="K42" t="n">
        <v>0</v>
      </c>
      <c r="L42" t="inlineStr">
        <is>
          <t>MUST-HAVE</t>
        </is>
      </c>
      <c r="M42" t="inlineStr">
        <is>
          <t>Firm</t>
        </is>
      </c>
      <c r="N42" t="inlineStr">
        <is>
          <t>Built and tested</t>
        </is>
      </c>
      <c r="O42" t="inlineStr">
        <is>
          <t>Matches</t>
        </is>
      </c>
    </row>
    <row r="43">
      <c r="A43" t="inlineStr">
        <is>
          <t>FD-040</t>
        </is>
      </c>
      <c r="B43" t="inlineStr">
        <is>
          <t>Application status tracking</t>
        </is>
      </c>
      <c r="C43" t="inlineStr">
        <is>
          <t>Applications</t>
        </is>
      </c>
      <c r="D43" t="inlineStr">
        <is>
          <t>General</t>
        </is>
      </c>
      <c r="E43" t="inlineStr">
        <is>
          <t>Yes</t>
        </is>
      </c>
      <c r="F43" t="inlineStr">
        <is>
          <t>Partial</t>
        </is>
      </c>
      <c r="G43" t="inlineStr">
        <is>
          <t>Partial</t>
        </is>
      </c>
      <c r="H43" t="inlineStr">
        <is>
          <t>Not verified</t>
        </is>
      </c>
      <c r="I43" t="n">
        <v>3</v>
      </c>
      <c r="J43" t="n">
        <v>3</v>
      </c>
      <c r="K43" t="n">
        <v>0</v>
      </c>
      <c r="L43" t="inlineStr">
        <is>
          <t>MUST-HAVE</t>
        </is>
      </c>
      <c r="M43" t="inlineStr">
        <is>
          <t>Firm</t>
        </is>
      </c>
      <c r="N43" t="inlineStr">
        <is>
          <t>Built and tested</t>
        </is>
      </c>
      <c r="O43" t="inlineStr">
        <is>
          <t>Exceeds</t>
        </is>
      </c>
    </row>
    <row r="44">
      <c r="A44" t="inlineStr">
        <is>
          <t>FD-041</t>
        </is>
      </c>
      <c r="B44" t="inlineStr">
        <is>
          <t>Interviews, feedback, offers, joining</t>
        </is>
      </c>
      <c r="C44" t="inlineStr">
        <is>
          <t>Hiring workflow</t>
        </is>
      </c>
      <c r="D44" t="inlineStr">
        <is>
          <t>General</t>
        </is>
      </c>
      <c r="E44" t="inlineStr">
        <is>
          <t>No</t>
        </is>
      </c>
      <c r="F44" t="inlineStr">
        <is>
          <t>No</t>
        </is>
      </c>
      <c r="G44" t="inlineStr">
        <is>
          <t>No</t>
        </is>
      </c>
      <c r="H44" t="inlineStr">
        <is>
          <t>Not verified</t>
        </is>
      </c>
      <c r="I44" t="n">
        <v>3</v>
      </c>
      <c r="J44" t="n">
        <v>0</v>
      </c>
      <c r="K44" t="n">
        <v>0</v>
      </c>
      <c r="L44" t="inlineStr">
        <is>
          <t>DIFFERENTIATOR</t>
        </is>
      </c>
      <c r="M44" t="inlineStr">
        <is>
          <t>Firm</t>
        </is>
      </c>
      <c r="N44" t="inlineStr">
        <is>
          <t>Built and tested</t>
        </is>
      </c>
      <c r="O44" t="inlineStr">
        <is>
          <t>Exceeds</t>
        </is>
      </c>
    </row>
    <row r="45">
      <c r="A45" t="inlineStr">
        <is>
          <t>FD-042</t>
        </is>
      </c>
      <c r="B45" t="inlineStr">
        <is>
          <t>Saved jobs and search history</t>
        </is>
      </c>
      <c r="C45" t="inlineStr">
        <is>
          <t>Jobs</t>
        </is>
      </c>
      <c r="D45" t="inlineStr">
        <is>
          <t>General</t>
        </is>
      </c>
      <c r="E45" t="inlineStr">
        <is>
          <t>Partial</t>
        </is>
      </c>
      <c r="F45" t="inlineStr">
        <is>
          <t>Not verified</t>
        </is>
      </c>
      <c r="G45" t="inlineStr">
        <is>
          <t>Partial</t>
        </is>
      </c>
      <c r="H45" t="inlineStr">
        <is>
          <t>Not verified</t>
        </is>
      </c>
      <c r="I45" t="n">
        <v>3</v>
      </c>
      <c r="J45" t="n">
        <v>2</v>
      </c>
      <c r="K45" t="n">
        <v>1</v>
      </c>
      <c r="L45" t="inlineStr">
        <is>
          <t>SHOULD-HAVE</t>
        </is>
      </c>
      <c r="M45" t="inlineStr">
        <is>
          <t>Provisional</t>
        </is>
      </c>
      <c r="N45" t="inlineStr">
        <is>
          <t>Built and tested</t>
        </is>
      </c>
      <c r="O45" t="inlineStr">
        <is>
          <t>Matches</t>
        </is>
      </c>
    </row>
    <row r="46">
      <c r="A46" t="inlineStr">
        <is>
          <t>FD-043</t>
        </is>
      </c>
      <c r="B46" t="inlineStr">
        <is>
          <t>Job alerts and recommendations</t>
        </is>
      </c>
      <c r="C46" t="inlineStr">
        <is>
          <t>Notifications and community</t>
        </is>
      </c>
      <c r="D46" t="inlineStr">
        <is>
          <t>General</t>
        </is>
      </c>
      <c r="E46" t="inlineStr">
        <is>
          <t>Yes</t>
        </is>
      </c>
      <c r="F46" t="inlineStr">
        <is>
          <t>Partial</t>
        </is>
      </c>
      <c r="G46" t="inlineStr">
        <is>
          <t>Yes</t>
        </is>
      </c>
      <c r="H46" t="inlineStr">
        <is>
          <t>Not verified</t>
        </is>
      </c>
      <c r="I46" t="n">
        <v>3</v>
      </c>
      <c r="J46" t="n">
        <v>3</v>
      </c>
      <c r="K46" t="n">
        <v>0</v>
      </c>
      <c r="L46" t="inlineStr">
        <is>
          <t>MUST-HAVE</t>
        </is>
      </c>
      <c r="M46" t="inlineStr">
        <is>
          <t>Firm</t>
        </is>
      </c>
      <c r="N46" t="inlineStr">
        <is>
          <t>Not built</t>
        </is>
      </c>
      <c r="O46" t="inlineStr">
        <is>
          <t>Falls short</t>
        </is>
      </c>
    </row>
    <row r="47">
      <c r="A47" t="inlineStr">
        <is>
          <t>FD-044</t>
        </is>
      </c>
      <c r="B47" t="inlineStr">
        <is>
          <t>Salary shown or hidden</t>
        </is>
      </c>
      <c r="C47" t="inlineStr">
        <is>
          <t>Jobs</t>
        </is>
      </c>
      <c r="D47" t="inlineStr">
        <is>
          <t>General</t>
        </is>
      </c>
      <c r="E47" t="inlineStr">
        <is>
          <t>Yes</t>
        </is>
      </c>
      <c r="F47" t="inlineStr">
        <is>
          <t>Not verified</t>
        </is>
      </c>
      <c r="G47" t="inlineStr">
        <is>
          <t>Yes</t>
        </is>
      </c>
      <c r="H47" t="inlineStr">
        <is>
          <t>Not verified</t>
        </is>
      </c>
      <c r="I47" t="n">
        <v>3</v>
      </c>
      <c r="J47" t="n">
        <v>2</v>
      </c>
      <c r="K47" t="n">
        <v>1</v>
      </c>
      <c r="L47" t="inlineStr">
        <is>
          <t>SHOULD-HAVE</t>
        </is>
      </c>
      <c r="M47" t="inlineStr">
        <is>
          <t>Provisional</t>
        </is>
      </c>
      <c r="N47" t="inlineStr">
        <is>
          <t>Built and tested</t>
        </is>
      </c>
      <c r="O47" t="inlineStr">
        <is>
          <t>Matches</t>
        </is>
      </c>
    </row>
    <row r="48">
      <c r="A48" t="inlineStr">
        <is>
          <t>FD-045</t>
        </is>
      </c>
      <c r="B48" t="inlineStr">
        <is>
          <t>Job listing states</t>
        </is>
      </c>
      <c r="C48" t="inlineStr">
        <is>
          <t>Jobs</t>
        </is>
      </c>
      <c r="D48" t="inlineStr">
        <is>
          <t>General</t>
        </is>
      </c>
      <c r="E48" t="inlineStr">
        <is>
          <t>Not verified</t>
        </is>
      </c>
      <c r="F48" t="inlineStr">
        <is>
          <t>Yes</t>
        </is>
      </c>
      <c r="G48" t="inlineStr">
        <is>
          <t>Not verified</t>
        </is>
      </c>
      <c r="H48" t="inlineStr">
        <is>
          <t>Not verified</t>
        </is>
      </c>
      <c r="I48" t="n">
        <v>3</v>
      </c>
      <c r="J48" t="n">
        <v>1</v>
      </c>
      <c r="K48" t="n">
        <v>2</v>
      </c>
      <c r="L48" t="inlineStr">
        <is>
          <t>SHOULD-HAVE</t>
        </is>
      </c>
      <c r="M48" t="inlineStr">
        <is>
          <t>Provisional</t>
        </is>
      </c>
      <c r="N48" t="inlineStr">
        <is>
          <t>Built and tested</t>
        </is>
      </c>
      <c r="O48" t="inlineStr">
        <is>
          <t>Matches</t>
        </is>
      </c>
    </row>
    <row r="49">
      <c r="A49" t="inlineStr">
        <is>
          <t>FD-046</t>
        </is>
      </c>
      <c r="B49" t="inlineStr">
        <is>
          <t>Aptitude and domain assessments</t>
        </is>
      </c>
      <c r="C49" t="inlineStr">
        <is>
          <t>Campus</t>
        </is>
      </c>
      <c r="D49" t="inlineStr">
        <is>
          <t>Campus</t>
        </is>
      </c>
      <c r="E49" t="inlineStr">
        <is>
          <t>Not verified</t>
        </is>
      </c>
      <c r="F49" t="inlineStr">
        <is>
          <t>Not verified</t>
        </is>
      </c>
      <c r="G49" t="inlineStr">
        <is>
          <t>Not verified</t>
        </is>
      </c>
      <c r="H49" t="inlineStr">
        <is>
          <t>Yes</t>
        </is>
      </c>
      <c r="I49" t="n">
        <v>1</v>
      </c>
      <c r="J49" t="n">
        <v>1</v>
      </c>
      <c r="K49" t="n">
        <v>0</v>
      </c>
      <c r="L49" t="inlineStr">
        <is>
          <t>SHOULD-HAVE</t>
        </is>
      </c>
      <c r="M49" t="inlineStr">
        <is>
          <t>Provisional (one leader studied)</t>
        </is>
      </c>
      <c r="N49" t="inlineStr">
        <is>
          <t>Built</t>
        </is>
      </c>
      <c r="O49" t="inlineStr">
        <is>
          <t>Matches</t>
        </is>
      </c>
    </row>
    <row r="50">
      <c r="A50" t="inlineStr">
        <is>
          <t>FD-047</t>
        </is>
      </c>
      <c r="B50" t="inlineStr">
        <is>
          <t>Campus drives managed by employers (define, run, track)</t>
        </is>
      </c>
      <c r="C50" t="inlineStr">
        <is>
          <t>Campus</t>
        </is>
      </c>
      <c r="D50" t="inlineStr">
        <is>
          <t>Campus</t>
        </is>
      </c>
      <c r="E50" t="inlineStr">
        <is>
          <t>Not verified</t>
        </is>
      </c>
      <c r="F50" t="inlineStr">
        <is>
          <t>Not verified</t>
        </is>
      </c>
      <c r="G50" t="inlineStr">
        <is>
          <t>Not verified</t>
        </is>
      </c>
      <c r="H50" t="inlineStr">
        <is>
          <t>Yes</t>
        </is>
      </c>
      <c r="I50" t="n">
        <v>1</v>
      </c>
      <c r="J50" t="n">
        <v>1</v>
      </c>
      <c r="K50" t="n">
        <v>0</v>
      </c>
      <c r="L50" t="inlineStr">
        <is>
          <t>SHOULD-HAVE</t>
        </is>
      </c>
      <c r="M50" t="inlineStr">
        <is>
          <t>Provisional (one leader studied)</t>
        </is>
      </c>
      <c r="N50" t="inlineStr">
        <is>
          <t>Built and tested</t>
        </is>
      </c>
      <c r="O50" t="inlineStr">
        <is>
          <t>Matches</t>
        </is>
      </c>
    </row>
    <row r="51">
      <c r="A51" t="inlineStr">
        <is>
          <t>FD-048</t>
        </is>
      </c>
      <c r="B51" t="inlineStr">
        <is>
          <t>Skills contests and prep content</t>
        </is>
      </c>
      <c r="C51" t="inlineStr">
        <is>
          <t>Campus</t>
        </is>
      </c>
      <c r="D51" t="inlineStr">
        <is>
          <t>Campus</t>
        </is>
      </c>
      <c r="E51" t="inlineStr">
        <is>
          <t>Not verified</t>
        </is>
      </c>
      <c r="F51" t="inlineStr">
        <is>
          <t>Not verified</t>
        </is>
      </c>
      <c r="G51" t="inlineStr">
        <is>
          <t>Not verified</t>
        </is>
      </c>
      <c r="H51" t="inlineStr">
        <is>
          <t>Yes</t>
        </is>
      </c>
      <c r="I51" t="n">
        <v>1</v>
      </c>
      <c r="J51" t="n">
        <v>1</v>
      </c>
      <c r="K51" t="n">
        <v>0</v>
      </c>
      <c r="L51" t="inlineStr">
        <is>
          <t>SHOULD-HAVE</t>
        </is>
      </c>
      <c r="M51" t="inlineStr">
        <is>
          <t>Provisional (one leader studied)</t>
        </is>
      </c>
      <c r="N51" t="inlineStr">
        <is>
          <t>Deliberately left out</t>
        </is>
      </c>
      <c r="O51" t="inlineStr">
        <is>
          <t>Falls short</t>
        </is>
      </c>
    </row>
    <row r="52">
      <c r="A52" t="inlineStr">
        <is>
          <t>FD-049</t>
        </is>
      </c>
      <c r="B52" t="inlineStr">
        <is>
          <t>Institution as a hiring partner</t>
        </is>
      </c>
      <c r="C52" t="inlineStr">
        <is>
          <t>Campus</t>
        </is>
      </c>
      <c r="D52" t="inlineStr">
        <is>
          <t>Campus</t>
        </is>
      </c>
      <c r="E52" t="inlineStr">
        <is>
          <t>Not verified</t>
        </is>
      </c>
      <c r="F52" t="inlineStr">
        <is>
          <t>Not verified</t>
        </is>
      </c>
      <c r="G52" t="inlineStr">
        <is>
          <t>Not verified</t>
        </is>
      </c>
      <c r="H52" t="inlineStr">
        <is>
          <t>Not verified</t>
        </is>
      </c>
      <c r="I52" t="n">
        <v>1</v>
      </c>
      <c r="J52" t="n">
        <v>0</v>
      </c>
      <c r="K52" t="n">
        <v>1</v>
      </c>
      <c r="L52" t="inlineStr">
        <is>
          <t>SHOULD-HAVE</t>
        </is>
      </c>
      <c r="M52" t="inlineStr">
        <is>
          <t>Provisional (one leader studied)</t>
        </is>
      </c>
      <c r="N52" t="inlineStr">
        <is>
          <t>Built and tested</t>
        </is>
      </c>
      <c r="O52" t="inlineStr">
        <is>
          <t>Matches</t>
        </is>
      </c>
    </row>
    <row r="53">
      <c r="A53" t="inlineStr">
        <is>
          <t>FD-050</t>
        </is>
      </c>
      <c r="B53" t="inlineStr">
        <is>
          <t>Gig marketplace with windows, pricing, one-way bids, external fulfilment (LinkedIn has a Services marketplace, with no windows or bids)</t>
        </is>
      </c>
      <c r="C53" t="inlineStr">
        <is>
          <t>Gig</t>
        </is>
      </c>
      <c r="D53" t="inlineStr">
        <is>
          <t>Not observable</t>
        </is>
      </c>
      <c r="E53" t="inlineStr">
        <is>
          <t>Not verified</t>
        </is>
      </c>
      <c r="F53" t="inlineStr">
        <is>
          <t>Not verified</t>
        </is>
      </c>
      <c r="G53" t="inlineStr">
        <is>
          <t>Partial</t>
        </is>
      </c>
      <c r="H53" t="inlineStr">
        <is>
          <t>Not verified</t>
        </is>
      </c>
      <c r="I53" t="n">
        <v>0</v>
      </c>
      <c r="J53" t="n">
        <v>0</v>
      </c>
      <c r="K53" t="n">
        <v>0</v>
      </c>
      <c r="L53" t="inlineStr">
        <is>
          <t>declared</t>
        </is>
      </c>
      <c r="M53" t="inlineStr">
        <is>
          <t>Declared (not observable)</t>
        </is>
      </c>
      <c r="N53" t="inlineStr">
        <is>
          <t>Built</t>
        </is>
      </c>
      <c r="O53" t="inlineStr">
        <is>
          <t>Exceeds</t>
        </is>
      </c>
    </row>
    <row r="54">
      <c r="A54" t="inlineStr">
        <is>
          <t>FD-051</t>
        </is>
      </c>
      <c r="B54" t="inlineStr">
        <is>
          <t>Consultant marketplace: freelance recruiters source for jobs open to consultants</t>
        </is>
      </c>
      <c r="C54" t="inlineStr">
        <is>
          <t>Consultants and sourcing</t>
        </is>
      </c>
      <c r="D54" t="inlineStr">
        <is>
          <t>Not observable</t>
        </is>
      </c>
      <c r="E54" t="inlineStr">
        <is>
          <t>Not verified</t>
        </is>
      </c>
      <c r="F54" t="inlineStr">
        <is>
          <t>Not verified</t>
        </is>
      </c>
      <c r="G54" t="inlineStr">
        <is>
          <t>Not verified</t>
        </is>
      </c>
      <c r="H54" t="inlineStr">
        <is>
          <t>Not verified</t>
        </is>
      </c>
      <c r="I54" t="n">
        <v>0</v>
      </c>
      <c r="J54" t="n">
        <v>0</v>
      </c>
      <c r="K54" t="n">
        <v>0</v>
      </c>
      <c r="L54" t="inlineStr">
        <is>
          <t>declared</t>
        </is>
      </c>
      <c r="M54" t="inlineStr">
        <is>
          <t>Declared (not observable)</t>
        </is>
      </c>
      <c r="N54" t="inlineStr">
        <is>
          <t>Built and tested</t>
        </is>
      </c>
      <c r="O54" t="inlineStr">
        <is>
          <t>Exceeds</t>
        </is>
      </c>
    </row>
    <row r="55">
      <c r="A55" t="inlineStr">
        <is>
          <t>FD-052</t>
        </is>
      </c>
      <c r="B55" t="inlineStr">
        <is>
          <t>Candidate can block employers, recruiters and consultants by party type (LinkedIn blocks any member)</t>
        </is>
      </c>
      <c r="C55" t="inlineStr">
        <is>
          <t>Privacy and security</t>
        </is>
      </c>
      <c r="D55" t="inlineStr">
        <is>
          <t>Not observable</t>
        </is>
      </c>
      <c r="E55" t="inlineStr">
        <is>
          <t>Not verified</t>
        </is>
      </c>
      <c r="F55" t="inlineStr">
        <is>
          <t>Not verified</t>
        </is>
      </c>
      <c r="G55" t="inlineStr">
        <is>
          <t>Not verified</t>
        </is>
      </c>
      <c r="H55" t="inlineStr">
        <is>
          <t>Not verified</t>
        </is>
      </c>
      <c r="I55" t="n">
        <v>0</v>
      </c>
      <c r="J55" t="n">
        <v>0</v>
      </c>
      <c r="K55" t="n">
        <v>0</v>
      </c>
      <c r="L55" t="inlineStr">
        <is>
          <t>declared</t>
        </is>
      </c>
      <c r="M55" t="inlineStr">
        <is>
          <t>Declared (not observable)</t>
        </is>
      </c>
      <c r="N55" t="inlineStr">
        <is>
          <t>Built and tested</t>
        </is>
      </c>
      <c r="O55" t="inlineStr">
        <is>
          <t>Exceeds</t>
        </is>
      </c>
    </row>
    <row r="56">
      <c r="A56" t="inlineStr">
        <is>
          <t>FD-053</t>
        </is>
      </c>
      <c r="B56" t="inlineStr">
        <is>
          <t>Rules enforced in the database (one application per job, no overlapping windows)</t>
        </is>
      </c>
      <c r="C56" t="inlineStr">
        <is>
          <t>Platform and scale</t>
        </is>
      </c>
      <c r="D56" t="inlineStr">
        <is>
          <t>Not observable</t>
        </is>
      </c>
      <c r="E56" t="inlineStr">
        <is>
          <t>Not verified</t>
        </is>
      </c>
      <c r="F56" t="inlineStr">
        <is>
          <t>Not verified</t>
        </is>
      </c>
      <c r="G56" t="inlineStr">
        <is>
          <t>Not verified</t>
        </is>
      </c>
      <c r="H56" t="inlineStr">
        <is>
          <t>Not verified</t>
        </is>
      </c>
      <c r="I56" t="n">
        <v>0</v>
      </c>
      <c r="J56" t="n">
        <v>0</v>
      </c>
      <c r="K56" t="n">
        <v>0</v>
      </c>
      <c r="L56" t="inlineStr">
        <is>
          <t>declared</t>
        </is>
      </c>
      <c r="M56" t="inlineStr">
        <is>
          <t>Declared (not observable)</t>
        </is>
      </c>
      <c r="N56" t="inlineStr">
        <is>
          <t>Built and tested</t>
        </is>
      </c>
      <c r="O56" t="inlineStr">
        <is>
          <t>Exceeds</t>
        </is>
      </c>
    </row>
    <row r="57">
      <c r="A57" t="inlineStr">
        <is>
          <t>FD-054</t>
        </is>
      </c>
      <c r="B57" t="inlineStr">
        <is>
          <t>Current and expected salary as fields and recruiter filters</t>
        </is>
      </c>
      <c r="C57" t="inlineStr">
        <is>
          <t>Search</t>
        </is>
      </c>
      <c r="D57" t="inlineStr">
        <is>
          <t>General</t>
        </is>
      </c>
      <c r="E57" t="inlineStr">
        <is>
          <t>Yes</t>
        </is>
      </c>
      <c r="F57" t="inlineStr">
        <is>
          <t>Yes</t>
        </is>
      </c>
      <c r="G57" t="inlineStr">
        <is>
          <t>Partial</t>
        </is>
      </c>
      <c r="H57" t="inlineStr">
        <is>
          <t>Not verified</t>
        </is>
      </c>
      <c r="I57" t="n">
        <v>3</v>
      </c>
      <c r="J57" t="n">
        <v>3</v>
      </c>
      <c r="K57" t="n">
        <v>0</v>
      </c>
      <c r="L57" t="inlineStr">
        <is>
          <t>MUST-HAVE</t>
        </is>
      </c>
      <c r="M57" t="inlineStr">
        <is>
          <t>Firm</t>
        </is>
      </c>
      <c r="N57" t="inlineStr">
        <is>
          <t>Built</t>
        </is>
      </c>
      <c r="O57" t="inlineStr">
        <is>
          <t>Falls short</t>
        </is>
      </c>
    </row>
    <row r="58">
      <c r="A58" t="inlineStr">
        <is>
          <t>FD-055</t>
        </is>
      </c>
      <c r="B58" t="inlineStr">
        <is>
          <t>Serving notice flag</t>
        </is>
      </c>
      <c r="C58" t="inlineStr">
        <is>
          <t>Profile</t>
        </is>
      </c>
      <c r="D58" t="inlineStr">
        <is>
          <t>General</t>
        </is>
      </c>
      <c r="E58" t="inlineStr">
        <is>
          <t>Partial</t>
        </is>
      </c>
      <c r="F58" t="inlineStr">
        <is>
          <t>Not verified</t>
        </is>
      </c>
      <c r="G58" t="inlineStr">
        <is>
          <t>Not verified</t>
        </is>
      </c>
      <c r="H58" t="inlineStr">
        <is>
          <t>Not verified</t>
        </is>
      </c>
      <c r="I58" t="n">
        <v>3</v>
      </c>
      <c r="J58" t="n">
        <v>1</v>
      </c>
      <c r="K58" t="n">
        <v>2</v>
      </c>
      <c r="L58" t="inlineStr">
        <is>
          <t>SHOULD-HAVE</t>
        </is>
      </c>
      <c r="M58" t="inlineStr">
        <is>
          <t>Provisional</t>
        </is>
      </c>
      <c r="N58" t="inlineStr">
        <is>
          <t>Not built</t>
        </is>
      </c>
      <c r="O58" t="inlineStr">
        <is>
          <t>Falls short</t>
        </is>
      </c>
    </row>
    <row r="59">
      <c r="A59" t="inlineStr">
        <is>
          <t>FD-056</t>
        </is>
      </c>
      <c r="B59" t="inlineStr">
        <is>
          <t>Per-seat usage quota</t>
        </is>
      </c>
      <c r="C59" t="inlineStr">
        <is>
          <t>Licences, subscriptions and wallet</t>
        </is>
      </c>
      <c r="D59" t="inlineStr">
        <is>
          <t>General</t>
        </is>
      </c>
      <c r="E59" t="inlineStr">
        <is>
          <t>Yes</t>
        </is>
      </c>
      <c r="F59" t="inlineStr">
        <is>
          <t>Not verified</t>
        </is>
      </c>
      <c r="G59" t="inlineStr">
        <is>
          <t>Yes</t>
        </is>
      </c>
      <c r="H59" t="inlineStr">
        <is>
          <t>Not verified</t>
        </is>
      </c>
      <c r="I59" t="n">
        <v>3</v>
      </c>
      <c r="J59" t="n">
        <v>2</v>
      </c>
      <c r="K59" t="n">
        <v>1</v>
      </c>
      <c r="L59" t="inlineStr">
        <is>
          <t>SHOULD-HAVE</t>
        </is>
      </c>
      <c r="M59" t="inlineStr">
        <is>
          <t>Provisional</t>
        </is>
      </c>
      <c r="N59" t="inlineStr">
        <is>
          <t>Not built</t>
        </is>
      </c>
      <c r="O59" t="inlineStr">
        <is>
          <t>Falls short</t>
        </is>
      </c>
    </row>
    <row r="60">
      <c r="A60" t="inlineStr">
        <is>
          <t>FD-057</t>
        </is>
      </c>
      <c r="B60" t="inlineStr">
        <is>
          <t>Seat park, restore and reassign</t>
        </is>
      </c>
      <c r="C60" t="inlineStr">
        <is>
          <t>Licences, subscriptions and wallet</t>
        </is>
      </c>
      <c r="D60" t="inlineStr">
        <is>
          <t>General</t>
        </is>
      </c>
      <c r="E60" t="inlineStr">
        <is>
          <t>Not verified</t>
        </is>
      </c>
      <c r="F60" t="inlineStr">
        <is>
          <t>Not verified</t>
        </is>
      </c>
      <c r="G60" t="inlineStr">
        <is>
          <t>Yes</t>
        </is>
      </c>
      <c r="H60" t="inlineStr">
        <is>
          <t>Not verified</t>
        </is>
      </c>
      <c r="I60" t="n">
        <v>3</v>
      </c>
      <c r="J60" t="n">
        <v>1</v>
      </c>
      <c r="K60" t="n">
        <v>2</v>
      </c>
      <c r="L60" t="inlineStr">
        <is>
          <t>SHOULD-HAVE</t>
        </is>
      </c>
      <c r="M60" t="inlineStr">
        <is>
          <t>Provisional</t>
        </is>
      </c>
      <c r="N60" t="inlineStr">
        <is>
          <t>Not built</t>
        </is>
      </c>
      <c r="O60" t="inlineStr">
        <is>
          <t>Falls short</t>
        </is>
      </c>
    </row>
    <row r="61">
      <c r="A61" t="inlineStr">
        <is>
          <t>FD-058</t>
        </is>
      </c>
      <c r="B61" t="inlineStr">
        <is>
          <t>Custom fields on a prospect</t>
        </is>
      </c>
      <c r="C61" t="inlineStr">
        <is>
          <t>Consultants and sourcing</t>
        </is>
      </c>
      <c r="D61" t="inlineStr">
        <is>
          <t>General</t>
        </is>
      </c>
      <c r="E61" t="inlineStr">
        <is>
          <t>Not verified</t>
        </is>
      </c>
      <c r="F61" t="inlineStr">
        <is>
          <t>Not verified</t>
        </is>
      </c>
      <c r="G61" t="inlineStr">
        <is>
          <t>Yes</t>
        </is>
      </c>
      <c r="H61" t="inlineStr">
        <is>
          <t>Not verified</t>
        </is>
      </c>
      <c r="I61" t="n">
        <v>3</v>
      </c>
      <c r="J61" t="n">
        <v>1</v>
      </c>
      <c r="K61" t="n">
        <v>2</v>
      </c>
      <c r="L61" t="inlineStr">
        <is>
          <t>SHOULD-HAVE</t>
        </is>
      </c>
      <c r="M61" t="inlineStr">
        <is>
          <t>Provisional</t>
        </is>
      </c>
      <c r="N61" t="inlineStr">
        <is>
          <t>Deliberately left out</t>
        </is>
      </c>
      <c r="O61" t="inlineStr">
        <is>
          <t>Falls short</t>
        </is>
      </c>
    </row>
    <row r="62">
      <c r="A62" t="inlineStr">
        <is>
          <t>FD-059</t>
        </is>
      </c>
      <c r="B62" t="inlineStr">
        <is>
          <t>Resume visible only through a campaign message</t>
        </is>
      </c>
      <c r="C62" t="inlineStr">
        <is>
          <t>Profile</t>
        </is>
      </c>
      <c r="D62" t="inlineStr">
        <is>
          <t>General</t>
        </is>
      </c>
      <c r="E62" t="inlineStr">
        <is>
          <t>Not verified</t>
        </is>
      </c>
      <c r="F62" t="inlineStr">
        <is>
          <t>Yes</t>
        </is>
      </c>
      <c r="G62" t="inlineStr">
        <is>
          <t>Not verified</t>
        </is>
      </c>
      <c r="H62" t="inlineStr">
        <is>
          <t>Not verified</t>
        </is>
      </c>
      <c r="I62" t="n">
        <v>3</v>
      </c>
      <c r="J62" t="n">
        <v>1</v>
      </c>
      <c r="K62" t="n">
        <v>2</v>
      </c>
      <c r="L62" t="inlineStr">
        <is>
          <t>SHOULD-HAVE</t>
        </is>
      </c>
      <c r="M62" t="inlineStr">
        <is>
          <t>Provisional</t>
        </is>
      </c>
      <c r="N62" t="inlineStr">
        <is>
          <t>Not built</t>
        </is>
      </c>
      <c r="O62" t="inlineStr">
        <is>
          <t>Falls short</t>
        </is>
      </c>
    </row>
    <row r="63">
      <c r="A63" t="inlineStr">
        <is>
          <t>FD-060</t>
        </is>
      </c>
      <c r="B63" t="inlineStr">
        <is>
          <t>Screening question library and auto-reject</t>
        </is>
      </c>
      <c r="C63" t="inlineStr">
        <is>
          <t>Applications</t>
        </is>
      </c>
      <c r="D63" t="inlineStr">
        <is>
          <t>General</t>
        </is>
      </c>
      <c r="E63" t="inlineStr">
        <is>
          <t>Partial</t>
        </is>
      </c>
      <c r="F63" t="inlineStr">
        <is>
          <t>Yes</t>
        </is>
      </c>
      <c r="G63" t="inlineStr">
        <is>
          <t>Yes</t>
        </is>
      </c>
      <c r="H63" t="inlineStr">
        <is>
          <t>Not verified</t>
        </is>
      </c>
      <c r="I63" t="n">
        <v>3</v>
      </c>
      <c r="J63" t="n">
        <v>3</v>
      </c>
      <c r="K63" t="n">
        <v>0</v>
      </c>
      <c r="L63" t="inlineStr">
        <is>
          <t>MUST-HAVE</t>
        </is>
      </c>
      <c r="M63" t="inlineStr">
        <is>
          <t>Firm</t>
        </is>
      </c>
      <c r="N63" t="inlineStr">
        <is>
          <t>Not built</t>
        </is>
      </c>
      <c r="O63" t="inlineStr">
        <is>
          <t>Falls short</t>
        </is>
      </c>
    </row>
    <row r="64">
      <c r="A64" t="inlineStr">
        <is>
          <t>FD-061</t>
        </is>
      </c>
      <c r="B64" t="inlineStr">
        <is>
          <t>Filters on veteran status, clearance and graduation year</t>
        </is>
      </c>
      <c r="C64" t="inlineStr">
        <is>
          <t>Search</t>
        </is>
      </c>
      <c r="D64" t="inlineStr">
        <is>
          <t>General</t>
        </is>
      </c>
      <c r="E64" t="inlineStr">
        <is>
          <t>Not verified</t>
        </is>
      </c>
      <c r="F64" t="inlineStr">
        <is>
          <t>Yes</t>
        </is>
      </c>
      <c r="G64" t="inlineStr">
        <is>
          <t>Partial</t>
        </is>
      </c>
      <c r="H64" t="inlineStr">
        <is>
          <t>Not verified</t>
        </is>
      </c>
      <c r="I64" t="n">
        <v>3</v>
      </c>
      <c r="J64" t="n">
        <v>2</v>
      </c>
      <c r="K64" t="n">
        <v>1</v>
      </c>
      <c r="L64" t="inlineStr">
        <is>
          <t>SHOULD-HAVE</t>
        </is>
      </c>
      <c r="M64" t="inlineStr">
        <is>
          <t>Provisional</t>
        </is>
      </c>
      <c r="N64" t="inlineStr">
        <is>
          <t>Not built</t>
        </is>
      </c>
      <c r="O64" t="inlineStr">
        <is>
          <t>Falls short</t>
        </is>
      </c>
    </row>
    <row r="65">
      <c r="A65" t="inlineStr">
        <is>
          <t>FD-062</t>
        </is>
      </c>
      <c r="B65" t="inlineStr">
        <is>
          <t>Platform-issued skill certificates</t>
        </is>
      </c>
      <c r="C65" t="inlineStr">
        <is>
          <t>Profile</t>
        </is>
      </c>
      <c r="D65" t="inlineStr">
        <is>
          <t>General</t>
        </is>
      </c>
      <c r="E65" t="inlineStr">
        <is>
          <t>Yes</t>
        </is>
      </c>
      <c r="F65" t="inlineStr">
        <is>
          <t>Not verified</t>
        </is>
      </c>
      <c r="G65" t="inlineStr">
        <is>
          <t>Not verified</t>
        </is>
      </c>
      <c r="H65" t="inlineStr">
        <is>
          <t>Not verified</t>
        </is>
      </c>
      <c r="I65" t="n">
        <v>3</v>
      </c>
      <c r="J65" t="n">
        <v>1</v>
      </c>
      <c r="K65" t="n">
        <v>2</v>
      </c>
      <c r="L65" t="inlineStr">
        <is>
          <t>SHOULD-HAVE</t>
        </is>
      </c>
      <c r="M65" t="inlineStr">
        <is>
          <t>Provisional</t>
        </is>
      </c>
      <c r="N65" t="inlineStr">
        <is>
          <t>Not built</t>
        </is>
      </c>
      <c r="O65" t="inlineStr">
        <is>
          <t>Falls short</t>
        </is>
      </c>
    </row>
    <row r="66">
      <c r="A66" t="inlineStr">
        <is>
          <t>FD-063</t>
        </is>
      </c>
      <c r="B66" t="inlineStr">
        <is>
          <t>Alert and saved-job limits</t>
        </is>
      </c>
      <c r="C66" t="inlineStr">
        <is>
          <t>Notifications and community</t>
        </is>
      </c>
      <c r="D66" t="inlineStr">
        <is>
          <t>General</t>
        </is>
      </c>
      <c r="E66" t="inlineStr">
        <is>
          <t>Not verified</t>
        </is>
      </c>
      <c r="F66" t="inlineStr">
        <is>
          <t>Partial</t>
        </is>
      </c>
      <c r="G66" t="inlineStr">
        <is>
          <t>Yes</t>
        </is>
      </c>
      <c r="H66" t="inlineStr">
        <is>
          <t>Not verified</t>
        </is>
      </c>
      <c r="I66" t="n">
        <v>3</v>
      </c>
      <c r="J66" t="n">
        <v>2</v>
      </c>
      <c r="K66" t="n">
        <v>1</v>
      </c>
      <c r="L66" t="inlineStr">
        <is>
          <t>SHOULD-HAVE</t>
        </is>
      </c>
      <c r="M66" t="inlineStr">
        <is>
          <t>Provisional</t>
        </is>
      </c>
      <c r="N66" t="inlineStr">
        <is>
          <t>Not built</t>
        </is>
      </c>
      <c r="O66" t="inlineStr">
        <is>
          <t>Falls short</t>
        </is>
      </c>
    </row>
    <row r="67">
      <c r="A67" t="inlineStr">
        <is>
          <t>FD-064</t>
        </is>
      </c>
      <c r="B67" t="inlineStr">
        <is>
          <t>Credit holding cap per plan</t>
        </is>
      </c>
      <c r="C67" t="inlineStr">
        <is>
          <t>Licences, subscriptions and wallet</t>
        </is>
      </c>
      <c r="D67" t="inlineStr">
        <is>
          <t>General</t>
        </is>
      </c>
      <c r="E67" t="inlineStr">
        <is>
          <t>Not verified</t>
        </is>
      </c>
      <c r="F67" t="inlineStr">
        <is>
          <t>Not verified</t>
        </is>
      </c>
      <c r="G67" t="inlineStr">
        <is>
          <t>Yes</t>
        </is>
      </c>
      <c r="H67" t="inlineStr">
        <is>
          <t>Not verified</t>
        </is>
      </c>
      <c r="I67" t="n">
        <v>3</v>
      </c>
      <c r="J67" t="n">
        <v>1</v>
      </c>
      <c r="K67" t="n">
        <v>2</v>
      </c>
      <c r="L67" t="inlineStr">
        <is>
          <t>SHOULD-HAVE</t>
        </is>
      </c>
      <c r="M67" t="inlineStr">
        <is>
          <t>Provisional</t>
        </is>
      </c>
      <c r="N67" t="inlineStr">
        <is>
          <t>Not built</t>
        </is>
      </c>
      <c r="O67" t="inlineStr">
        <is>
          <t>Falls short</t>
        </is>
      </c>
    </row>
    <row r="68">
      <c r="A68" t="inlineStr">
        <is>
          <t>FD-065</t>
        </is>
      </c>
      <c r="B68" t="inlineStr">
        <is>
          <t>Outreach limit per candidate</t>
        </is>
      </c>
      <c r="C68" t="inlineStr">
        <is>
          <t>Consultants and sourcing</t>
        </is>
      </c>
      <c r="D68" t="inlineStr">
        <is>
          <t>General</t>
        </is>
      </c>
      <c r="E68" t="inlineStr">
        <is>
          <t>Yes</t>
        </is>
      </c>
      <c r="F68" t="inlineStr">
        <is>
          <t>Not verified</t>
        </is>
      </c>
      <c r="G68" t="inlineStr">
        <is>
          <t>Partial</t>
        </is>
      </c>
      <c r="H68" t="inlineStr">
        <is>
          <t>Not verified</t>
        </is>
      </c>
      <c r="I68" t="n">
        <v>3</v>
      </c>
      <c r="J68" t="n">
        <v>2</v>
      </c>
      <c r="K68" t="n">
        <v>1</v>
      </c>
      <c r="L68" t="inlineStr">
        <is>
          <t>SHOULD-HAVE</t>
        </is>
      </c>
      <c r="M68" t="inlineStr">
        <is>
          <t>Provisional</t>
        </is>
      </c>
      <c r="N68" t="inlineStr">
        <is>
          <t>Built and tested</t>
        </is>
      </c>
      <c r="O68" t="inlineStr">
        <is>
          <t>Matches</t>
        </is>
      </c>
    </row>
    <row r="69">
      <c r="A69" t="inlineStr">
        <is>
          <t>FD-066</t>
        </is>
      </c>
      <c r="B69" t="inlineStr">
        <is>
          <t>Notification preferences and delivery controls</t>
        </is>
      </c>
      <c r="C69" t="inlineStr">
        <is>
          <t>Notifications and community</t>
        </is>
      </c>
      <c r="D69" t="inlineStr">
        <is>
          <t>General</t>
        </is>
      </c>
      <c r="E69" t="inlineStr">
        <is>
          <t>Yes</t>
        </is>
      </c>
      <c r="F69" t="inlineStr">
        <is>
          <t>Yes</t>
        </is>
      </c>
      <c r="G69" t="inlineStr">
        <is>
          <t>Yes</t>
        </is>
      </c>
      <c r="H69" t="inlineStr">
        <is>
          <t>Not verified</t>
        </is>
      </c>
      <c r="I69" t="n">
        <v>3</v>
      </c>
      <c r="J69" t="n">
        <v>3</v>
      </c>
      <c r="K69" t="n">
        <v>0</v>
      </c>
      <c r="L69" t="inlineStr">
        <is>
          <t>MUST-HAVE</t>
        </is>
      </c>
      <c r="M69" t="inlineStr">
        <is>
          <t>Firm</t>
        </is>
      </c>
      <c r="N69" t="inlineStr">
        <is>
          <t>Built and tested</t>
        </is>
      </c>
      <c r="O69" t="inlineStr">
        <is>
          <t>Matches</t>
        </is>
      </c>
    </row>
    <row r="70">
      <c r="A70" t="inlineStr">
        <is>
          <t>FD-067</t>
        </is>
      </c>
      <c r="B70" t="inlineStr">
        <is>
          <t>Community posts and moderation</t>
        </is>
      </c>
      <c r="C70" t="inlineStr">
        <is>
          <t>Notifications and community</t>
        </is>
      </c>
      <c r="D70" t="inlineStr">
        <is>
          <t>General</t>
        </is>
      </c>
      <c r="E70" t="inlineStr">
        <is>
          <t>Yes</t>
        </is>
      </c>
      <c r="F70" t="inlineStr">
        <is>
          <t>Not verified</t>
        </is>
      </c>
      <c r="G70" t="inlineStr">
        <is>
          <t>Yes</t>
        </is>
      </c>
      <c r="H70" t="inlineStr">
        <is>
          <t>Not verified</t>
        </is>
      </c>
      <c r="I70" t="n">
        <v>3</v>
      </c>
      <c r="J70" t="n">
        <v>2</v>
      </c>
      <c r="K70" t="n">
        <v>1</v>
      </c>
      <c r="L70" t="inlineStr">
        <is>
          <t>SHOULD-HAVE</t>
        </is>
      </c>
      <c r="M70" t="inlineStr">
        <is>
          <t>Provisional</t>
        </is>
      </c>
      <c r="N70" t="inlineStr">
        <is>
          <t>Built and tested</t>
        </is>
      </c>
      <c r="O70" t="inlineStr">
        <is>
          <t>Matches</t>
        </is>
      </c>
    </row>
    <row r="71">
      <c r="A71" t="inlineStr">
        <is>
          <t>FD-068</t>
        </is>
      </c>
      <c r="B71" t="inlineStr">
        <is>
          <t>Recruiter dashboards</t>
        </is>
      </c>
      <c r="C71" t="inlineStr">
        <is>
          <t>Analytics</t>
        </is>
      </c>
      <c r="D71" t="inlineStr">
        <is>
          <t>General</t>
        </is>
      </c>
      <c r="E71" t="inlineStr">
        <is>
          <t>Yes</t>
        </is>
      </c>
      <c r="F71" t="inlineStr">
        <is>
          <t>Not verified</t>
        </is>
      </c>
      <c r="G71" t="inlineStr">
        <is>
          <t>Yes</t>
        </is>
      </c>
      <c r="H71" t="inlineStr">
        <is>
          <t>Not verified</t>
        </is>
      </c>
      <c r="I71" t="n">
        <v>3</v>
      </c>
      <c r="J71" t="n">
        <v>2</v>
      </c>
      <c r="K71" t="n">
        <v>1</v>
      </c>
      <c r="L71" t="inlineStr">
        <is>
          <t>SHOULD-HAVE</t>
        </is>
      </c>
      <c r="M71" t="inlineStr">
        <is>
          <t>Provisional</t>
        </is>
      </c>
      <c r="N71" t="inlineStr">
        <is>
          <t>Built and tested</t>
        </is>
      </c>
      <c r="O71" t="inlineStr">
        <is>
          <t>Matches</t>
        </is>
      </c>
    </row>
    <row r="72">
      <c r="A72" t="inlineStr">
        <is>
          <t>FD-069</t>
        </is>
      </c>
      <c r="B72" t="inlineStr">
        <is>
          <t>Background photo and photo visibility</t>
        </is>
      </c>
      <c r="C72" t="inlineStr">
        <is>
          <t>Profile</t>
        </is>
      </c>
      <c r="D72" t="inlineStr">
        <is>
          <t>General</t>
        </is>
      </c>
      <c r="E72" t="inlineStr">
        <is>
          <t>Not verified</t>
        </is>
      </c>
      <c r="F72" t="inlineStr">
        <is>
          <t>Not verified</t>
        </is>
      </c>
      <c r="G72" t="inlineStr">
        <is>
          <t>Yes</t>
        </is>
      </c>
      <c r="H72" t="inlineStr">
        <is>
          <t>Not verified</t>
        </is>
      </c>
      <c r="I72" t="n">
        <v>3</v>
      </c>
      <c r="J72" t="n">
        <v>1</v>
      </c>
      <c r="K72" t="n">
        <v>2</v>
      </c>
      <c r="L72" t="inlineStr">
        <is>
          <t>SHOULD-HAVE</t>
        </is>
      </c>
      <c r="M72" t="inlineStr">
        <is>
          <t>Provisional</t>
        </is>
      </c>
      <c r="N72" t="inlineStr">
        <is>
          <t>Not built</t>
        </is>
      </c>
      <c r="O72" t="inlineStr">
        <is>
          <t>Falls short</t>
        </is>
      </c>
    </row>
    <row r="73">
      <c r="A73" t="inlineStr">
        <is>
          <t>FD-070</t>
        </is>
      </c>
      <c r="B73" t="inlineStr">
        <is>
          <t>Open to work audience</t>
        </is>
      </c>
      <c r="C73" t="inlineStr">
        <is>
          <t>Profile</t>
        </is>
      </c>
      <c r="D73" t="inlineStr">
        <is>
          <t>General</t>
        </is>
      </c>
      <c r="E73" t="inlineStr">
        <is>
          <t>Not verified</t>
        </is>
      </c>
      <c r="F73" t="inlineStr">
        <is>
          <t>Not verified</t>
        </is>
      </c>
      <c r="G73" t="inlineStr">
        <is>
          <t>Yes</t>
        </is>
      </c>
      <c r="H73" t="inlineStr">
        <is>
          <t>No</t>
        </is>
      </c>
      <c r="I73" t="n">
        <v>3</v>
      </c>
      <c r="J73" t="n">
        <v>1</v>
      </c>
      <c r="K73" t="n">
        <v>2</v>
      </c>
      <c r="L73" t="inlineStr">
        <is>
          <t>SHOULD-HAVE</t>
        </is>
      </c>
      <c r="M73" t="inlineStr">
        <is>
          <t>Provisional</t>
        </is>
      </c>
      <c r="N73" t="inlineStr">
        <is>
          <t>Not built</t>
        </is>
      </c>
      <c r="O73" t="inlineStr">
        <is>
          <t>Falls short</t>
        </is>
      </c>
    </row>
    <row r="74">
      <c r="A74" t="inlineStr">
        <is>
          <t>FD-071</t>
        </is>
      </c>
      <c r="B74" t="inlineStr">
        <is>
          <t>Kind of verification</t>
        </is>
      </c>
      <c r="C74" t="inlineStr">
        <is>
          <t>Profile</t>
        </is>
      </c>
      <c r="D74" t="inlineStr">
        <is>
          <t>General</t>
        </is>
      </c>
      <c r="E74" t="inlineStr">
        <is>
          <t>Not verified</t>
        </is>
      </c>
      <c r="F74" t="inlineStr">
        <is>
          <t>No</t>
        </is>
      </c>
      <c r="G74" t="inlineStr">
        <is>
          <t>Yes</t>
        </is>
      </c>
      <c r="H74" t="inlineStr">
        <is>
          <t>No</t>
        </is>
      </c>
      <c r="I74" t="n">
        <v>3</v>
      </c>
      <c r="J74" t="n">
        <v>1</v>
      </c>
      <c r="K74" t="n">
        <v>1</v>
      </c>
      <c r="L74" t="inlineStr">
        <is>
          <t>SHOULD-HAVE</t>
        </is>
      </c>
      <c r="M74" t="inlineStr">
        <is>
          <t>Provisional</t>
        </is>
      </c>
      <c r="N74" t="inlineStr">
        <is>
          <t>Not built</t>
        </is>
      </c>
      <c r="O74" t="inlineStr">
        <is>
          <t>Falls short</t>
        </is>
      </c>
    </row>
    <row r="75">
      <c r="A75" t="inlineStr">
        <is>
          <t>FD-072</t>
        </is>
      </c>
      <c r="B75" t="inlineStr">
        <is>
          <t>Viewer visibility mode on a profile view</t>
        </is>
      </c>
      <c r="C75" t="inlineStr">
        <is>
          <t>Profile</t>
        </is>
      </c>
      <c r="D75" t="inlineStr">
        <is>
          <t>General</t>
        </is>
      </c>
      <c r="E75" t="inlineStr">
        <is>
          <t>Not verified</t>
        </is>
      </c>
      <c r="F75" t="inlineStr">
        <is>
          <t>Not verified</t>
        </is>
      </c>
      <c r="G75" t="inlineStr">
        <is>
          <t>Yes</t>
        </is>
      </c>
      <c r="H75" t="inlineStr">
        <is>
          <t>Not verified</t>
        </is>
      </c>
      <c r="I75" t="n">
        <v>3</v>
      </c>
      <c r="J75" t="n">
        <v>1</v>
      </c>
      <c r="K75" t="n">
        <v>2</v>
      </c>
      <c r="L75" t="inlineStr">
        <is>
          <t>SHOULD-HAVE</t>
        </is>
      </c>
      <c r="M75" t="inlineStr">
        <is>
          <t>Provisional</t>
        </is>
      </c>
      <c r="N75" t="inlineStr">
        <is>
          <t>Not built</t>
        </is>
      </c>
      <c r="O75" t="inlineStr">
        <is>
          <t>Falls short</t>
        </is>
      </c>
    </row>
    <row r="76">
      <c r="A76" t="inlineStr">
        <is>
          <t>FD-073</t>
        </is>
      </c>
      <c r="B76" t="inlineStr">
        <is>
          <t>Richer job posting fields</t>
        </is>
      </c>
      <c r="C76" t="inlineStr">
        <is>
          <t>Jobs</t>
        </is>
      </c>
      <c r="D76" t="inlineStr">
        <is>
          <t>General</t>
        </is>
      </c>
      <c r="E76" t="inlineStr">
        <is>
          <t>Not verified</t>
        </is>
      </c>
      <c r="F76" t="inlineStr">
        <is>
          <t>Not verified</t>
        </is>
      </c>
      <c r="G76" t="inlineStr">
        <is>
          <t>Yes</t>
        </is>
      </c>
      <c r="H76" t="inlineStr">
        <is>
          <t>Not verified</t>
        </is>
      </c>
      <c r="I76" t="n">
        <v>3</v>
      </c>
      <c r="J76" t="n">
        <v>1</v>
      </c>
      <c r="K76" t="n">
        <v>2</v>
      </c>
      <c r="L76" t="inlineStr">
        <is>
          <t>SHOULD-HAVE</t>
        </is>
      </c>
      <c r="M76" t="inlineStr">
        <is>
          <t>Provisional</t>
        </is>
      </c>
      <c r="N76" t="inlineStr">
        <is>
          <t>Not built</t>
        </is>
      </c>
      <c r="O76" t="inlineStr">
        <is>
          <t>Falls short</t>
        </is>
      </c>
    </row>
    <row r="77">
      <c r="A77" t="inlineStr">
        <is>
          <t>FD-074</t>
        </is>
      </c>
      <c r="B77" t="inlineStr">
        <is>
          <t>Must-have flag on a screening question</t>
        </is>
      </c>
      <c r="C77" t="inlineStr">
        <is>
          <t>Applications</t>
        </is>
      </c>
      <c r="D77" t="inlineStr">
        <is>
          <t>General</t>
        </is>
      </c>
      <c r="E77" t="inlineStr">
        <is>
          <t>Not verified</t>
        </is>
      </c>
      <c r="F77" t="inlineStr">
        <is>
          <t>Not verified</t>
        </is>
      </c>
      <c r="G77" t="inlineStr">
        <is>
          <t>Yes</t>
        </is>
      </c>
      <c r="H77" t="inlineStr">
        <is>
          <t>Not verified</t>
        </is>
      </c>
      <c r="I77" t="n">
        <v>3</v>
      </c>
      <c r="J77" t="n">
        <v>1</v>
      </c>
      <c r="K77" t="n">
        <v>2</v>
      </c>
      <c r="L77" t="inlineStr">
        <is>
          <t>SHOULD-HAVE</t>
        </is>
      </c>
      <c r="M77" t="inlineStr">
        <is>
          <t>Provisional</t>
        </is>
      </c>
      <c r="N77" t="inlineStr">
        <is>
          <t>Not built</t>
        </is>
      </c>
      <c r="O77" t="inlineStr">
        <is>
          <t>Falls short</t>
        </is>
      </c>
    </row>
    <row r="78">
      <c r="A78" t="inlineStr">
        <is>
          <t>FD-075</t>
        </is>
      </c>
      <c r="B78" t="inlineStr">
        <is>
          <t>Pipeline stage per recruiter project</t>
        </is>
      </c>
      <c r="C78" t="inlineStr">
        <is>
          <t>Hiring workflow</t>
        </is>
      </c>
      <c r="D78" t="inlineStr">
        <is>
          <t>General</t>
        </is>
      </c>
      <c r="E78" t="inlineStr">
        <is>
          <t>Not verified</t>
        </is>
      </c>
      <c r="F78" t="inlineStr">
        <is>
          <t>Not verified</t>
        </is>
      </c>
      <c r="G78" t="inlineStr">
        <is>
          <t>Yes</t>
        </is>
      </c>
      <c r="H78" t="inlineStr">
        <is>
          <t>Not verified</t>
        </is>
      </c>
      <c r="I78" t="n">
        <v>3</v>
      </c>
      <c r="J78" t="n">
        <v>1</v>
      </c>
      <c r="K78" t="n">
        <v>2</v>
      </c>
      <c r="L78" t="inlineStr">
        <is>
          <t>SHOULD-HAVE</t>
        </is>
      </c>
      <c r="M78" t="inlineStr">
        <is>
          <t>Provisional</t>
        </is>
      </c>
      <c r="N78" t="inlineStr">
        <is>
          <t>Not built</t>
        </is>
      </c>
      <c r="O78" t="inlineStr">
        <is>
          <t>Falls short</t>
        </is>
      </c>
    </row>
    <row r="79">
      <c r="A79" t="inlineStr">
        <is>
          <t>FD-076</t>
        </is>
      </c>
      <c r="B79" t="inlineStr">
        <is>
          <t>Company page fields</t>
        </is>
      </c>
      <c r="C79" t="inlineStr">
        <is>
          <t>Organisation and admin</t>
        </is>
      </c>
      <c r="D79" t="inlineStr">
        <is>
          <t>General</t>
        </is>
      </c>
      <c r="E79" t="inlineStr">
        <is>
          <t>Not verified</t>
        </is>
      </c>
      <c r="F79" t="inlineStr">
        <is>
          <t>Not verified</t>
        </is>
      </c>
      <c r="G79" t="inlineStr">
        <is>
          <t>Yes</t>
        </is>
      </c>
      <c r="H79" t="inlineStr">
        <is>
          <t>Not verified</t>
        </is>
      </c>
      <c r="I79" t="n">
        <v>3</v>
      </c>
      <c r="J79" t="n">
        <v>1</v>
      </c>
      <c r="K79" t="n">
        <v>2</v>
      </c>
      <c r="L79" t="inlineStr">
        <is>
          <t>SHOULD-HAVE</t>
        </is>
      </c>
      <c r="M79" t="inlineStr">
        <is>
          <t>Provisional</t>
        </is>
      </c>
      <c r="N79" t="inlineStr">
        <is>
          <t>Not built</t>
        </is>
      </c>
      <c r="O79" t="inlineStr">
        <is>
          <t>Falls short</t>
        </is>
      </c>
    </row>
    <row r="80">
      <c r="A80" t="inlineStr">
        <is>
          <t>FD-077</t>
        </is>
      </c>
      <c r="B80" t="inlineStr">
        <is>
          <t>Estimated salary range</t>
        </is>
      </c>
      <c r="C80" t="inlineStr">
        <is>
          <t>Jobs</t>
        </is>
      </c>
      <c r="D80" t="inlineStr">
        <is>
          <t>General</t>
        </is>
      </c>
      <c r="E80" t="inlineStr">
        <is>
          <t>Not verified</t>
        </is>
      </c>
      <c r="F80" t="inlineStr">
        <is>
          <t>Not verified</t>
        </is>
      </c>
      <c r="G80" t="inlineStr">
        <is>
          <t>Yes</t>
        </is>
      </c>
      <c r="H80" t="inlineStr">
        <is>
          <t>Not verified</t>
        </is>
      </c>
      <c r="I80" t="n">
        <v>3</v>
      </c>
      <c r="J80" t="n">
        <v>1</v>
      </c>
      <c r="K80" t="n">
        <v>2</v>
      </c>
      <c r="L80" t="inlineStr">
        <is>
          <t>SHOULD-HAVE</t>
        </is>
      </c>
      <c r="M80" t="inlineStr">
        <is>
          <t>Provisional</t>
        </is>
      </c>
      <c r="N80" t="inlineStr">
        <is>
          <t>Not built</t>
        </is>
      </c>
      <c r="O80" t="inlineStr">
        <is>
          <t>Falls short</t>
        </is>
      </c>
    </row>
    <row r="81">
      <c r="A81" t="inlineStr">
        <is>
          <t>FD-078</t>
        </is>
      </c>
      <c r="B81" t="inlineStr">
        <is>
          <t>Append-only audit trail written by the database</t>
        </is>
      </c>
      <c r="C81" t="inlineStr">
        <is>
          <t>Privacy and security</t>
        </is>
      </c>
      <c r="D81" t="inlineStr">
        <is>
          <t>Not observable</t>
        </is>
      </c>
      <c r="E81" t="inlineStr">
        <is>
          <t>Not verified</t>
        </is>
      </c>
      <c r="F81" t="inlineStr">
        <is>
          <t>Not verified</t>
        </is>
      </c>
      <c r="G81" t="inlineStr">
        <is>
          <t>Not verified</t>
        </is>
      </c>
      <c r="H81" t="inlineStr">
        <is>
          <t>Not verified</t>
        </is>
      </c>
      <c r="I81" t="n">
        <v>0</v>
      </c>
      <c r="J81" t="n">
        <v>0</v>
      </c>
      <c r="K81" t="n">
        <v>0</v>
      </c>
      <c r="L81" t="inlineStr">
        <is>
          <t>declared</t>
        </is>
      </c>
      <c r="M81" t="inlineStr">
        <is>
          <t>Declared (not observable)</t>
        </is>
      </c>
      <c r="N81" t="inlineStr">
        <is>
          <t>Built and tested</t>
        </is>
      </c>
      <c r="O81" t="inlineStr">
        <is>
          <t>Not compared</t>
        </is>
      </c>
    </row>
    <row r="82">
      <c r="A82" t="inlineStr">
        <is>
          <t>FD-079</t>
        </is>
      </c>
      <c r="B82" t="inlineStr">
        <is>
          <t>Consent history</t>
        </is>
      </c>
      <c r="C82" t="inlineStr">
        <is>
          <t>Privacy and security</t>
        </is>
      </c>
      <c r="D82" t="inlineStr">
        <is>
          <t>Not observable</t>
        </is>
      </c>
      <c r="E82" t="inlineStr">
        <is>
          <t>Not verified</t>
        </is>
      </c>
      <c r="F82" t="inlineStr">
        <is>
          <t>Not verified</t>
        </is>
      </c>
      <c r="G82" t="inlineStr">
        <is>
          <t>Not verified</t>
        </is>
      </c>
      <c r="H82" t="inlineStr">
        <is>
          <t>Not verified</t>
        </is>
      </c>
      <c r="I82" t="n">
        <v>0</v>
      </c>
      <c r="J82" t="n">
        <v>0</v>
      </c>
      <c r="K82" t="n">
        <v>0</v>
      </c>
      <c r="L82" t="inlineStr">
        <is>
          <t>declared</t>
        </is>
      </c>
      <c r="M82" t="inlineStr">
        <is>
          <t>Declared (not observable)</t>
        </is>
      </c>
      <c r="N82" t="inlineStr">
        <is>
          <t>Built and tested</t>
        </is>
      </c>
      <c r="O82" t="inlineStr">
        <is>
          <t>Not compared</t>
        </is>
      </c>
    </row>
    <row r="83">
      <c r="A83" t="inlineStr">
        <is>
          <t>FD-080</t>
        </is>
      </c>
      <c r="B83" t="inlineStr">
        <is>
          <t>Erasure by scrubbing, keeping history</t>
        </is>
      </c>
      <c r="C83" t="inlineStr">
        <is>
          <t>Privacy and security</t>
        </is>
      </c>
      <c r="D83" t="inlineStr">
        <is>
          <t>Not observable</t>
        </is>
      </c>
      <c r="E83" t="inlineStr">
        <is>
          <t>Not verified</t>
        </is>
      </c>
      <c r="F83" t="inlineStr">
        <is>
          <t>Not verified</t>
        </is>
      </c>
      <c r="G83" t="inlineStr">
        <is>
          <t>Not verified</t>
        </is>
      </c>
      <c r="H83" t="inlineStr">
        <is>
          <t>Not verified</t>
        </is>
      </c>
      <c r="I83" t="n">
        <v>0</v>
      </c>
      <c r="J83" t="n">
        <v>0</v>
      </c>
      <c r="K83" t="n">
        <v>0</v>
      </c>
      <c r="L83" t="inlineStr">
        <is>
          <t>declared</t>
        </is>
      </c>
      <c r="M83" t="inlineStr">
        <is>
          <t>Declared (not observable)</t>
        </is>
      </c>
      <c r="N83" t="inlineStr">
        <is>
          <t>Built and tested</t>
        </is>
      </c>
      <c r="O83" t="inlineStr">
        <is>
          <t>Not compared</t>
        </is>
      </c>
    </row>
    <row r="84">
      <c r="A84" t="inlineStr">
        <is>
          <t>FD-081</t>
        </is>
      </c>
      <c r="B84" t="inlineStr">
        <is>
          <t>Roles and permissions with dates and scope</t>
        </is>
      </c>
      <c r="C84" t="inlineStr">
        <is>
          <t>Organisation and admin</t>
        </is>
      </c>
      <c r="D84" t="inlineStr">
        <is>
          <t>Not observable</t>
        </is>
      </c>
      <c r="E84" t="inlineStr">
        <is>
          <t>Not verified</t>
        </is>
      </c>
      <c r="F84" t="inlineStr">
        <is>
          <t>Not verified</t>
        </is>
      </c>
      <c r="G84" t="inlineStr">
        <is>
          <t>Not verified</t>
        </is>
      </c>
      <c r="H84" t="inlineStr">
        <is>
          <t>Not verified</t>
        </is>
      </c>
      <c r="I84" t="n">
        <v>0</v>
      </c>
      <c r="J84" t="n">
        <v>0</v>
      </c>
      <c r="K84" t="n">
        <v>0</v>
      </c>
      <c r="L84" t="inlineStr">
        <is>
          <t>declared</t>
        </is>
      </c>
      <c r="M84" t="inlineStr">
        <is>
          <t>Declared (not observable)</t>
        </is>
      </c>
      <c r="N84" t="inlineStr">
        <is>
          <t>Built and tested</t>
        </is>
      </c>
      <c r="O84" t="inlineStr">
        <is>
          <t>Not compared</t>
        </is>
      </c>
    </row>
    <row r="85">
      <c r="A85" t="inlineStr">
        <is>
          <t>FD-082</t>
        </is>
      </c>
      <c r="B85" t="inlineStr">
        <is>
          <t>Row-level security by organisation and by person</t>
        </is>
      </c>
      <c r="C85" t="inlineStr">
        <is>
          <t>Privacy and security</t>
        </is>
      </c>
      <c r="D85" t="inlineStr">
        <is>
          <t>Not observable</t>
        </is>
      </c>
      <c r="E85" t="inlineStr">
        <is>
          <t>Not verified</t>
        </is>
      </c>
      <c r="F85" t="inlineStr">
        <is>
          <t>Not verified</t>
        </is>
      </c>
      <c r="G85" t="inlineStr">
        <is>
          <t>Not verified</t>
        </is>
      </c>
      <c r="H85" t="inlineStr">
        <is>
          <t>Not verified</t>
        </is>
      </c>
      <c r="I85" t="n">
        <v>0</v>
      </c>
      <c r="J85" t="n">
        <v>0</v>
      </c>
      <c r="K85" t="n">
        <v>0</v>
      </c>
      <c r="L85" t="inlineStr">
        <is>
          <t>declared</t>
        </is>
      </c>
      <c r="M85" t="inlineStr">
        <is>
          <t>Declared (not observable)</t>
        </is>
      </c>
      <c r="N85" t="inlineStr">
        <is>
          <t>Built and tested</t>
        </is>
      </c>
      <c r="O85" t="inlineStr">
        <is>
          <t>Not compared</t>
        </is>
      </c>
    </row>
    <row r="86">
      <c r="A86" t="inlineStr">
        <is>
          <t>FD-083</t>
        </is>
      </c>
      <c r="B86" t="inlineStr">
        <is>
          <t>Monthly partitions and stated retention</t>
        </is>
      </c>
      <c r="C86" t="inlineStr">
        <is>
          <t>Platform and scale</t>
        </is>
      </c>
      <c r="D86" t="inlineStr">
        <is>
          <t>Not observable</t>
        </is>
      </c>
      <c r="E86" t="inlineStr">
        <is>
          <t>Not verified</t>
        </is>
      </c>
      <c r="F86" t="inlineStr">
        <is>
          <t>Not verified</t>
        </is>
      </c>
      <c r="G86" t="inlineStr">
        <is>
          <t>Not verified</t>
        </is>
      </c>
      <c r="H86" t="inlineStr">
        <is>
          <t>Not verified</t>
        </is>
      </c>
      <c r="I86" t="n">
        <v>0</v>
      </c>
      <c r="J86" t="n">
        <v>0</v>
      </c>
      <c r="K86" t="n">
        <v>0</v>
      </c>
      <c r="L86" t="inlineStr">
        <is>
          <t>declared</t>
        </is>
      </c>
      <c r="M86" t="inlineStr">
        <is>
          <t>Declared (not observable)</t>
        </is>
      </c>
      <c r="N86" t="inlineStr">
        <is>
          <t>Built and tested</t>
        </is>
      </c>
      <c r="O86" t="inlineStr">
        <is>
          <t>Not compared</t>
        </is>
      </c>
    </row>
    <row r="87">
      <c r="A87" t="inlineStr">
        <is>
          <t>FD-084</t>
        </is>
      </c>
      <c r="B87" t="inlineStr">
        <is>
          <t>Limits that hold under parallel sessions</t>
        </is>
      </c>
      <c r="C87" t="inlineStr">
        <is>
          <t>Platform and scale</t>
        </is>
      </c>
      <c r="D87" t="inlineStr">
        <is>
          <t>Not observable</t>
        </is>
      </c>
      <c r="E87" t="inlineStr">
        <is>
          <t>Not verified</t>
        </is>
      </c>
      <c r="F87" t="inlineStr">
        <is>
          <t>Not verified</t>
        </is>
      </c>
      <c r="G87" t="inlineStr">
        <is>
          <t>Not verified</t>
        </is>
      </c>
      <c r="H87" t="inlineStr">
        <is>
          <t>Not verified</t>
        </is>
      </c>
      <c r="I87" t="n">
        <v>0</v>
      </c>
      <c r="J87" t="n">
        <v>0</v>
      </c>
      <c r="K87" t="n">
        <v>0</v>
      </c>
      <c r="L87" t="inlineStr">
        <is>
          <t>declared</t>
        </is>
      </c>
      <c r="M87" t="inlineStr">
        <is>
          <t>Declared (not observable)</t>
        </is>
      </c>
      <c r="N87" t="inlineStr">
        <is>
          <t>Built and tested</t>
        </is>
      </c>
      <c r="O87" t="inlineStr">
        <is>
          <t>Not compared</t>
        </is>
      </c>
    </row>
    <row r="88">
      <c r="A88" t="inlineStr">
        <is>
          <t>FD-085</t>
        </is>
      </c>
      <c r="B88" t="inlineStr">
        <is>
          <t>Outside-system exchange log</t>
        </is>
      </c>
      <c r="C88" t="inlineStr">
        <is>
          <t>Organisation and admin</t>
        </is>
      </c>
      <c r="D88" t="inlineStr">
        <is>
          <t>Not observable</t>
        </is>
      </c>
      <c r="E88" t="inlineStr">
        <is>
          <t>Not verified</t>
        </is>
      </c>
      <c r="F88" t="inlineStr">
        <is>
          <t>Not verified</t>
        </is>
      </c>
      <c r="G88" t="inlineStr">
        <is>
          <t>Not verified</t>
        </is>
      </c>
      <c r="H88" t="inlineStr">
        <is>
          <t>Not verified</t>
        </is>
      </c>
      <c r="I88" t="n">
        <v>0</v>
      </c>
      <c r="J88" t="n">
        <v>0</v>
      </c>
      <c r="K88" t="n">
        <v>0</v>
      </c>
      <c r="L88" t="inlineStr">
        <is>
          <t>declared</t>
        </is>
      </c>
      <c r="M88" t="inlineStr">
        <is>
          <t>Declared (not observable)</t>
        </is>
      </c>
      <c r="N88" t="inlineStr">
        <is>
          <t>Built and tested</t>
        </is>
      </c>
      <c r="O88" t="inlineStr">
        <is>
          <t>Not compared</t>
        </is>
      </c>
    </row>
    <row r="89">
      <c r="A89" t="inlineStr">
        <is>
          <t>FD-086</t>
        </is>
      </c>
      <c r="B89" t="inlineStr">
        <is>
          <t>Links to the old systems</t>
        </is>
      </c>
      <c r="C89" t="inlineStr">
        <is>
          <t>Organisation and admin</t>
        </is>
      </c>
      <c r="D89" t="inlineStr">
        <is>
          <t>Not observable</t>
        </is>
      </c>
      <c r="E89" t="inlineStr">
        <is>
          <t>Not verified</t>
        </is>
      </c>
      <c r="F89" t="inlineStr">
        <is>
          <t>Not verified</t>
        </is>
      </c>
      <c r="G89" t="inlineStr">
        <is>
          <t>Not verified</t>
        </is>
      </c>
      <c r="H89" t="inlineStr">
        <is>
          <t>Not verified</t>
        </is>
      </c>
      <c r="I89" t="n">
        <v>0</v>
      </c>
      <c r="J89" t="n">
        <v>0</v>
      </c>
      <c r="K89" t="n">
        <v>0</v>
      </c>
      <c r="L89" t="inlineStr">
        <is>
          <t>declared</t>
        </is>
      </c>
      <c r="M89" t="inlineStr">
        <is>
          <t>Declared (not observable)</t>
        </is>
      </c>
      <c r="N89" t="inlineStr">
        <is>
          <t>Built and tested</t>
        </is>
      </c>
      <c r="O89" t="inlineStr">
        <is>
          <t>Not compared</t>
        </is>
      </c>
    </row>
    <row r="90">
      <c r="A90" t="inlineStr">
        <is>
          <t>FD-087</t>
        </is>
      </c>
      <c r="B90" t="inlineStr">
        <is>
          <t>Append-only credit ledger with a balance check</t>
        </is>
      </c>
      <c r="C90" t="inlineStr">
        <is>
          <t>Licences, subscriptions and wallet</t>
        </is>
      </c>
      <c r="D90" t="inlineStr">
        <is>
          <t>Not observable</t>
        </is>
      </c>
      <c r="E90" t="inlineStr">
        <is>
          <t>Not verified</t>
        </is>
      </c>
      <c r="F90" t="inlineStr">
        <is>
          <t>Not verified</t>
        </is>
      </c>
      <c r="G90" t="inlineStr">
        <is>
          <t>Not verified</t>
        </is>
      </c>
      <c r="H90" t="inlineStr">
        <is>
          <t>Not verified</t>
        </is>
      </c>
      <c r="I90" t="n">
        <v>0</v>
      </c>
      <c r="J90" t="n">
        <v>0</v>
      </c>
      <c r="K90" t="n">
        <v>0</v>
      </c>
      <c r="L90" t="inlineStr">
        <is>
          <t>declared</t>
        </is>
      </c>
      <c r="M90" t="inlineStr">
        <is>
          <t>Declared (not observable)</t>
        </is>
      </c>
      <c r="N90" t="inlineStr">
        <is>
          <t>Built and tested</t>
        </is>
      </c>
      <c r="O90" t="inlineStr">
        <is>
          <t>Not compared</t>
        </is>
      </c>
    </row>
    <row r="91">
      <c r="A91" t="inlineStr">
        <is>
          <t>FD-088</t>
        </is>
      </c>
      <c r="B91" t="inlineStr">
        <is>
          <t>Payment messages stored once</t>
        </is>
      </c>
      <c r="C91" t="inlineStr">
        <is>
          <t>Licences, subscriptions and wallet</t>
        </is>
      </c>
      <c r="D91" t="inlineStr">
        <is>
          <t>Not observable</t>
        </is>
      </c>
      <c r="E91" t="inlineStr">
        <is>
          <t>Not verified</t>
        </is>
      </c>
      <c r="F91" t="inlineStr">
        <is>
          <t>Not verified</t>
        </is>
      </c>
      <c r="G91" t="inlineStr">
        <is>
          <t>Not verified</t>
        </is>
      </c>
      <c r="H91" t="inlineStr">
        <is>
          <t>Not verified</t>
        </is>
      </c>
      <c r="I91" t="n">
        <v>0</v>
      </c>
      <c r="J91" t="n">
        <v>0</v>
      </c>
      <c r="K91" t="n">
        <v>0</v>
      </c>
      <c r="L91" t="inlineStr">
        <is>
          <t>declared</t>
        </is>
      </c>
      <c r="M91" t="inlineStr">
        <is>
          <t>Declared (not observable)</t>
        </is>
      </c>
      <c r="N91" t="inlineStr">
        <is>
          <t>Built and tested</t>
        </is>
      </c>
      <c r="O91" t="inlineStr">
        <is>
          <t>Not compared</t>
        </is>
      </c>
    </row>
    <row r="92">
      <c r="A92" t="inlineStr">
        <is>
          <t>FD-089</t>
        </is>
      </c>
      <c r="B92" t="inlineStr">
        <is>
          <t>Subscription plans and periods without overlap</t>
        </is>
      </c>
      <c r="C92" t="inlineStr">
        <is>
          <t>Licences, subscriptions and wallet</t>
        </is>
      </c>
      <c r="D92" t="inlineStr">
        <is>
          <t>Not observable</t>
        </is>
      </c>
      <c r="E92" t="inlineStr">
        <is>
          <t>Not verified</t>
        </is>
      </c>
      <c r="F92" t="inlineStr">
        <is>
          <t>Not verified</t>
        </is>
      </c>
      <c r="G92" t="inlineStr">
        <is>
          <t>Not verified</t>
        </is>
      </c>
      <c r="H92" t="inlineStr">
        <is>
          <t>Not verified</t>
        </is>
      </c>
      <c r="I92" t="n">
        <v>0</v>
      </c>
      <c r="J92" t="n">
        <v>0</v>
      </c>
      <c r="K92" t="n">
        <v>0</v>
      </c>
      <c r="L92" t="inlineStr">
        <is>
          <t>declared</t>
        </is>
      </c>
      <c r="M92" t="inlineStr">
        <is>
          <t>Declared (not observable)</t>
        </is>
      </c>
      <c r="N92" t="inlineStr">
        <is>
          <t>Built and tested</t>
        </is>
      </c>
      <c r="O92" t="inlineStr">
        <is>
          <t>Not compared</t>
        </is>
      </c>
    </row>
    <row r="93">
      <c r="A93" t="inlineStr">
        <is>
          <t>FD-090</t>
        </is>
      </c>
      <c r="B93" t="inlineStr">
        <is>
          <t>Message queue that never sends twice</t>
        </is>
      </c>
      <c r="C93" t="inlineStr">
        <is>
          <t>Notifications and community</t>
        </is>
      </c>
      <c r="D93" t="inlineStr">
        <is>
          <t>Not observable</t>
        </is>
      </c>
      <c r="E93" t="inlineStr">
        <is>
          <t>Not verified</t>
        </is>
      </c>
      <c r="F93" t="inlineStr">
        <is>
          <t>Not verified</t>
        </is>
      </c>
      <c r="G93" t="inlineStr">
        <is>
          <t>Not verified</t>
        </is>
      </c>
      <c r="H93" t="inlineStr">
        <is>
          <t>Not verified</t>
        </is>
      </c>
      <c r="I93" t="n">
        <v>0</v>
      </c>
      <c r="J93" t="n">
        <v>0</v>
      </c>
      <c r="K93" t="n">
        <v>0</v>
      </c>
      <c r="L93" t="inlineStr">
        <is>
          <t>declared</t>
        </is>
      </c>
      <c r="M93" t="inlineStr">
        <is>
          <t>Declared (not observable)</t>
        </is>
      </c>
      <c r="N93" t="inlineStr">
        <is>
          <t>Built and tested</t>
        </is>
      </c>
      <c r="O93" t="inlineStr">
        <is>
          <t>Not compared</t>
        </is>
      </c>
    </row>
    <row r="94">
      <c r="A94" t="inlineStr">
        <is>
          <t>FD-091</t>
        </is>
      </c>
      <c r="B94" t="inlineStr">
        <is>
          <t>Reports that hide small groups</t>
        </is>
      </c>
      <c r="C94" t="inlineStr">
        <is>
          <t>Analytics</t>
        </is>
      </c>
      <c r="D94" t="inlineStr">
        <is>
          <t>Not observable</t>
        </is>
      </c>
      <c r="E94" t="inlineStr">
        <is>
          <t>Not verified</t>
        </is>
      </c>
      <c r="F94" t="inlineStr">
        <is>
          <t>Not verified</t>
        </is>
      </c>
      <c r="G94" t="inlineStr">
        <is>
          <t>Not verified</t>
        </is>
      </c>
      <c r="H94" t="inlineStr">
        <is>
          <t>Not verified</t>
        </is>
      </c>
      <c r="I94" t="n">
        <v>0</v>
      </c>
      <c r="J94" t="n">
        <v>0</v>
      </c>
      <c r="K94" t="n">
        <v>0</v>
      </c>
      <c r="L94" t="inlineStr">
        <is>
          <t>declared</t>
        </is>
      </c>
      <c r="M94" t="inlineStr">
        <is>
          <t>Declared (not observable)</t>
        </is>
      </c>
      <c r="N94" t="inlineStr">
        <is>
          <t>Built and tested</t>
        </is>
      </c>
      <c r="O94" t="inlineStr">
        <is>
          <t>Not compared</t>
        </is>
      </c>
    </row>
    <row r="95">
      <c r="A95" t="inlineStr">
        <is>
          <t>FD-092</t>
        </is>
      </c>
      <c r="B95" t="inlineStr">
        <is>
          <t>History-keeping reporting dimensions</t>
        </is>
      </c>
      <c r="C95" t="inlineStr">
        <is>
          <t>Analytics</t>
        </is>
      </c>
      <c r="D95" t="inlineStr">
        <is>
          <t>Not observable</t>
        </is>
      </c>
      <c r="E95" t="inlineStr">
        <is>
          <t>Not verified</t>
        </is>
      </c>
      <c r="F95" t="inlineStr">
        <is>
          <t>Not verified</t>
        </is>
      </c>
      <c r="G95" t="inlineStr">
        <is>
          <t>Not verified</t>
        </is>
      </c>
      <c r="H95" t="inlineStr">
        <is>
          <t>Not verified</t>
        </is>
      </c>
      <c r="I95" t="n">
        <v>0</v>
      </c>
      <c r="J95" t="n">
        <v>0</v>
      </c>
      <c r="K95" t="n">
        <v>0</v>
      </c>
      <c r="L95" t="inlineStr">
        <is>
          <t>declared</t>
        </is>
      </c>
      <c r="M95" t="inlineStr">
        <is>
          <t>Declared (not observable)</t>
        </is>
      </c>
      <c r="N95" t="inlineStr">
        <is>
          <t>Built and tested</t>
        </is>
      </c>
      <c r="O95" t="inlineStr">
        <is>
          <t>Not compared</t>
        </is>
      </c>
    </row>
    <row r="96">
      <c r="A96" t="inlineStr">
        <is>
          <t>FD-093</t>
        </is>
      </c>
      <c r="B96" t="inlineStr">
        <is>
          <t>Lookup lists with translations</t>
        </is>
      </c>
      <c r="C96" t="inlineStr">
        <is>
          <t>Organisation and admin</t>
        </is>
      </c>
      <c r="D96" t="inlineStr">
        <is>
          <t>Not observable</t>
        </is>
      </c>
      <c r="E96" t="inlineStr">
        <is>
          <t>Not verified</t>
        </is>
      </c>
      <c r="F96" t="inlineStr">
        <is>
          <t>Not verified</t>
        </is>
      </c>
      <c r="G96" t="inlineStr">
        <is>
          <t>Not verified</t>
        </is>
      </c>
      <c r="H96" t="inlineStr">
        <is>
          <t>Not verified</t>
        </is>
      </c>
      <c r="I96" t="n">
        <v>0</v>
      </c>
      <c r="J96" t="n">
        <v>0</v>
      </c>
      <c r="K96" t="n">
        <v>0</v>
      </c>
      <c r="L96" t="inlineStr">
        <is>
          <t>declared</t>
        </is>
      </c>
      <c r="M96" t="inlineStr">
        <is>
          <t>Declared (not observable)</t>
        </is>
      </c>
      <c r="N96" t="inlineStr">
        <is>
          <t>Built and tested</t>
        </is>
      </c>
      <c r="O96" t="inlineStr">
        <is>
          <t>Not compared</t>
        </is>
      </c>
    </row>
    <row r="97">
      <c r="A97" t="inlineStr">
        <is>
          <t>FD-094</t>
        </is>
      </c>
      <c r="B97" t="inlineStr">
        <is>
          <t>Status changes only by listed steps</t>
        </is>
      </c>
      <c r="C97" t="inlineStr">
        <is>
          <t>Platform and scale</t>
        </is>
      </c>
      <c r="D97" t="inlineStr">
        <is>
          <t>Not observable</t>
        </is>
      </c>
      <c r="E97" t="inlineStr">
        <is>
          <t>Not verified</t>
        </is>
      </c>
      <c r="F97" t="inlineStr">
        <is>
          <t>Not verified</t>
        </is>
      </c>
      <c r="G97" t="inlineStr">
        <is>
          <t>Not verified</t>
        </is>
      </c>
      <c r="H97" t="inlineStr">
        <is>
          <t>Not verified</t>
        </is>
      </c>
      <c r="I97" t="n">
        <v>0</v>
      </c>
      <c r="J97" t="n">
        <v>0</v>
      </c>
      <c r="K97" t="n">
        <v>0</v>
      </c>
      <c r="L97" t="inlineStr">
        <is>
          <t>declared</t>
        </is>
      </c>
      <c r="M97" t="inlineStr">
        <is>
          <t>Declared (not observable)</t>
        </is>
      </c>
      <c r="N97" t="inlineStr">
        <is>
          <t>Built and tested</t>
        </is>
      </c>
      <c r="O97" t="inlineStr">
        <is>
          <t>Not compared</t>
        </is>
      </c>
    </row>
    <row r="98">
      <c r="A98" t="inlineStr">
        <is>
          <t>FD-095</t>
        </is>
      </c>
      <c r="B98" t="inlineStr">
        <is>
          <t>Passwords, tokens and sessions kept as hashes</t>
        </is>
      </c>
      <c r="C98" t="inlineStr">
        <is>
          <t>Privacy and security</t>
        </is>
      </c>
      <c r="D98" t="inlineStr">
        <is>
          <t>Not observable</t>
        </is>
      </c>
      <c r="E98" t="inlineStr">
        <is>
          <t>Not verified</t>
        </is>
      </c>
      <c r="F98" t="inlineStr">
        <is>
          <t>Not verified</t>
        </is>
      </c>
      <c r="G98" t="inlineStr">
        <is>
          <t>Not verified</t>
        </is>
      </c>
      <c r="H98" t="inlineStr">
        <is>
          <t>Not verified</t>
        </is>
      </c>
      <c r="I98" t="n">
        <v>0</v>
      </c>
      <c r="J98" t="n">
        <v>0</v>
      </c>
      <c r="K98" t="n">
        <v>0</v>
      </c>
      <c r="L98" t="inlineStr">
        <is>
          <t>declared</t>
        </is>
      </c>
      <c r="M98" t="inlineStr">
        <is>
          <t>Declared (not observable)</t>
        </is>
      </c>
      <c r="N98" t="inlineStr">
        <is>
          <t>Built and tested</t>
        </is>
      </c>
      <c r="O98" t="inlineStr">
        <is>
          <t>Not compared</t>
        </is>
      </c>
    </row>
    <row r="99">
      <c r="A99" t="inlineStr">
        <is>
          <t>FD-096</t>
        </is>
      </c>
      <c r="B99" t="inlineStr">
        <is>
          <t>One account model for every user</t>
        </is>
      </c>
      <c r="C99" t="inlineStr">
        <is>
          <t>Organisation and admin</t>
        </is>
      </c>
      <c r="D99" t="inlineStr">
        <is>
          <t>Not observable</t>
        </is>
      </c>
      <c r="E99" t="inlineStr">
        <is>
          <t>Not verified</t>
        </is>
      </c>
      <c r="F99" t="inlineStr">
        <is>
          <t>Not verified</t>
        </is>
      </c>
      <c r="G99" t="inlineStr">
        <is>
          <t>Not verified</t>
        </is>
      </c>
      <c r="H99" t="inlineStr">
        <is>
          <t>Not verified</t>
        </is>
      </c>
      <c r="I99" t="n">
        <v>0</v>
      </c>
      <c r="J99" t="n">
        <v>0</v>
      </c>
      <c r="K99" t="n">
        <v>0</v>
      </c>
      <c r="L99" t="inlineStr">
        <is>
          <t>declared</t>
        </is>
      </c>
      <c r="M99" t="inlineStr">
        <is>
          <t>Declared (not observable)</t>
        </is>
      </c>
      <c r="N99" t="inlineStr">
        <is>
          <t>Built and tested</t>
        </is>
      </c>
      <c r="O99" t="inlineStr">
        <is>
          <t>Not compared</t>
        </is>
      </c>
    </row>
    <row r="100">
      <c r="A100" t="inlineStr">
        <is>
          <t>FD-097</t>
        </is>
      </c>
      <c r="B100" t="inlineStr">
        <is>
          <t>Referral codes</t>
        </is>
      </c>
      <c r="C100" t="inlineStr">
        <is>
          <t>Profile</t>
        </is>
      </c>
      <c r="D100" t="inlineStr">
        <is>
          <t>General</t>
        </is>
      </c>
      <c r="E100" t="inlineStr">
        <is>
          <t>Not verified</t>
        </is>
      </c>
      <c r="F100" t="inlineStr">
        <is>
          <t>Not verified</t>
        </is>
      </c>
      <c r="G100" t="inlineStr">
        <is>
          <t>Not verified</t>
        </is>
      </c>
      <c r="H100" t="inlineStr">
        <is>
          <t>Not verified</t>
        </is>
      </c>
      <c r="I100" t="n">
        <v>3</v>
      </c>
      <c r="J100" t="n">
        <v>0</v>
      </c>
      <c r="K100" t="n">
        <v>3</v>
      </c>
      <c r="L100" t="inlineStr">
        <is>
          <t>SHOULD-HAVE</t>
        </is>
      </c>
      <c r="M100" t="inlineStr">
        <is>
          <t>Provisional</t>
        </is>
      </c>
      <c r="N100" t="inlineStr">
        <is>
          <t>Built and tested</t>
        </is>
      </c>
      <c r="O100" t="inlineStr">
        <is>
          <t>Not compared</t>
        </is>
      </c>
    </row>
    <row r="101">
      <c r="A101" t="inlineStr">
        <is>
          <t>FD-098</t>
        </is>
      </c>
      <c r="B101" t="inlineStr">
        <is>
          <t>Job published on channels for a window</t>
        </is>
      </c>
      <c r="C101" t="inlineStr">
        <is>
          <t>Jobs</t>
        </is>
      </c>
      <c r="D101" t="inlineStr">
        <is>
          <t>General</t>
        </is>
      </c>
      <c r="E101" t="inlineStr">
        <is>
          <t>Not verified</t>
        </is>
      </c>
      <c r="F101" t="inlineStr">
        <is>
          <t>Not verified</t>
        </is>
      </c>
      <c r="G101" t="inlineStr">
        <is>
          <t>Not verified</t>
        </is>
      </c>
      <c r="H101" t="inlineStr">
        <is>
          <t>Not verified</t>
        </is>
      </c>
      <c r="I101" t="n">
        <v>3</v>
      </c>
      <c r="J101" t="n">
        <v>0</v>
      </c>
      <c r="K101" t="n">
        <v>3</v>
      </c>
      <c r="L101" t="inlineStr">
        <is>
          <t>SHOULD-HAVE</t>
        </is>
      </c>
      <c r="M101" t="inlineStr">
        <is>
          <t>Provisional</t>
        </is>
      </c>
      <c r="N101" t="inlineStr">
        <is>
          <t>Built and tested</t>
        </is>
      </c>
      <c r="O101" t="inlineStr">
        <is>
          <t>Not compared</t>
        </is>
      </c>
    </row>
    <row r="102">
      <c r="A102" t="inlineStr">
        <is>
          <t>FD-099</t>
        </is>
      </c>
      <c r="B102" t="inlineStr">
        <is>
          <t>Agency posts for a client</t>
        </is>
      </c>
      <c r="C102" t="inlineStr">
        <is>
          <t>Jobs</t>
        </is>
      </c>
      <c r="D102" t="inlineStr">
        <is>
          <t>General</t>
        </is>
      </c>
      <c r="E102" t="inlineStr">
        <is>
          <t>Not verified</t>
        </is>
      </c>
      <c r="F102" t="inlineStr">
        <is>
          <t>Not verified</t>
        </is>
      </c>
      <c r="G102" t="inlineStr">
        <is>
          <t>Not verified</t>
        </is>
      </c>
      <c r="H102" t="inlineStr">
        <is>
          <t>Not verified</t>
        </is>
      </c>
      <c r="I102" t="n">
        <v>3</v>
      </c>
      <c r="J102" t="n">
        <v>0</v>
      </c>
      <c r="K102" t="n">
        <v>3</v>
      </c>
      <c r="L102" t="inlineStr">
        <is>
          <t>SHOULD-HAVE</t>
        </is>
      </c>
      <c r="M102" t="inlineStr">
        <is>
          <t>Provisional</t>
        </is>
      </c>
      <c r="N102" t="inlineStr">
        <is>
          <t>Built</t>
        </is>
      </c>
      <c r="O102" t="inlineStr">
        <is>
          <t>Not compared</t>
        </is>
      </c>
    </row>
    <row r="103">
      <c r="A103" t="inlineStr">
        <is>
          <t>FD-100</t>
        </is>
      </c>
      <c r="B103" t="inlineStr">
        <is>
          <t>Sensitivity class on every column</t>
        </is>
      </c>
      <c r="C103" t="inlineStr">
        <is>
          <t>Privacy and security</t>
        </is>
      </c>
      <c r="D103" t="inlineStr">
        <is>
          <t>Not observable</t>
        </is>
      </c>
      <c r="E103" t="inlineStr">
        <is>
          <t>Not verified</t>
        </is>
      </c>
      <c r="F103" t="inlineStr">
        <is>
          <t>Not verified</t>
        </is>
      </c>
      <c r="G103" t="inlineStr">
        <is>
          <t>Not verified</t>
        </is>
      </c>
      <c r="H103" t="inlineStr">
        <is>
          <t>Not verified</t>
        </is>
      </c>
      <c r="I103" t="n">
        <v>0</v>
      </c>
      <c r="J103" t="n">
        <v>0</v>
      </c>
      <c r="K103" t="n">
        <v>0</v>
      </c>
      <c r="L103" t="inlineStr">
        <is>
          <t>declared</t>
        </is>
      </c>
      <c r="M103" t="inlineStr">
        <is>
          <t>Declared (not observable)</t>
        </is>
      </c>
      <c r="N103" t="inlineStr">
        <is>
          <t>Built</t>
        </is>
      </c>
      <c r="O103" t="inlineStr">
        <is>
          <t>Not compared</t>
        </is>
      </c>
    </row>
    <row r="104">
      <c r="A104" t="inlineStr">
        <is>
          <t>FD-101</t>
        </is>
      </c>
      <c r="B104" t="inlineStr">
        <is>
          <t>Business data is never silently deleted</t>
        </is>
      </c>
      <c r="C104" t="inlineStr">
        <is>
          <t>Platform and scale</t>
        </is>
      </c>
      <c r="D104" t="inlineStr">
        <is>
          <t>Not observable</t>
        </is>
      </c>
      <c r="E104" t="inlineStr">
        <is>
          <t>Not verified</t>
        </is>
      </c>
      <c r="F104" t="inlineStr">
        <is>
          <t>Not verified</t>
        </is>
      </c>
      <c r="G104" t="inlineStr">
        <is>
          <t>Not verified</t>
        </is>
      </c>
      <c r="H104" t="inlineStr">
        <is>
          <t>Not verified</t>
        </is>
      </c>
      <c r="I104" t="n">
        <v>0</v>
      </c>
      <c r="J104" t="n">
        <v>0</v>
      </c>
      <c r="K104" t="n">
        <v>0</v>
      </c>
      <c r="L104" t="inlineStr">
        <is>
          <t>declared</t>
        </is>
      </c>
      <c r="M104" t="inlineStr">
        <is>
          <t>Declared (not observable)</t>
        </is>
      </c>
      <c r="N104" t="inlineStr">
        <is>
          <t>Built</t>
        </is>
      </c>
      <c r="O104" t="inlineStr">
        <is>
          <t>Not compared</t>
        </is>
      </c>
    </row>
    <row r="105">
      <c r="A105" t="inlineStr">
        <is>
          <t>FD-102</t>
        </is>
      </c>
      <c r="B105" t="inlineStr">
        <is>
          <t>An index for every business foreign key</t>
        </is>
      </c>
      <c r="C105" t="inlineStr">
        <is>
          <t>Platform and scale</t>
        </is>
      </c>
      <c r="D105" t="inlineStr">
        <is>
          <t>Not observable</t>
        </is>
      </c>
      <c r="E105" t="inlineStr">
        <is>
          <t>Not verified</t>
        </is>
      </c>
      <c r="F105" t="inlineStr">
        <is>
          <t>Not verified</t>
        </is>
      </c>
      <c r="G105" t="inlineStr">
        <is>
          <t>Not verified</t>
        </is>
      </c>
      <c r="H105" t="inlineStr">
        <is>
          <t>Not verified</t>
        </is>
      </c>
      <c r="I105" t="n">
        <v>0</v>
      </c>
      <c r="J105" t="n">
        <v>0</v>
      </c>
      <c r="K105" t="n">
        <v>0</v>
      </c>
      <c r="L105" t="inlineStr">
        <is>
          <t>declared</t>
        </is>
      </c>
      <c r="M105" t="inlineStr">
        <is>
          <t>Declared (not observable)</t>
        </is>
      </c>
      <c r="N105" t="inlineStr">
        <is>
          <t>Built and tested</t>
        </is>
      </c>
      <c r="O105" t="inlineStr">
        <is>
          <t>Not compared</t>
        </is>
      </c>
    </row>
    <row r="106">
      <c r="A106" t="inlineStr">
        <is>
          <t>FD-103</t>
        </is>
      </c>
      <c r="B106" t="inlineStr">
        <is>
          <t>Query timing is observable</t>
        </is>
      </c>
      <c r="C106" t="inlineStr">
        <is>
          <t>Platform and scale</t>
        </is>
      </c>
      <c r="D106" t="inlineStr">
        <is>
          <t>Not observable</t>
        </is>
      </c>
      <c r="E106" t="inlineStr">
        <is>
          <t>Not verified</t>
        </is>
      </c>
      <c r="F106" t="inlineStr">
        <is>
          <t>Not verified</t>
        </is>
      </c>
      <c r="G106" t="inlineStr">
        <is>
          <t>Not verified</t>
        </is>
      </c>
      <c r="H106" t="inlineStr">
        <is>
          <t>Not verified</t>
        </is>
      </c>
      <c r="I106" t="n">
        <v>0</v>
      </c>
      <c r="J106" t="n">
        <v>0</v>
      </c>
      <c r="K106" t="n">
        <v>0</v>
      </c>
      <c r="L106" t="inlineStr">
        <is>
          <t>declared</t>
        </is>
      </c>
      <c r="M106" t="inlineStr">
        <is>
          <t>Declared (not observable)</t>
        </is>
      </c>
      <c r="N106" t="inlineStr">
        <is>
          <t>Built</t>
        </is>
      </c>
      <c r="O106" t="inlineStr">
        <is>
          <t>Not compared</t>
        </is>
      </c>
    </row>
    <row r="107">
      <c r="A107" t="inlineStr">
        <is>
          <t>FD-104</t>
        </is>
      </c>
      <c r="B107" t="inlineStr">
        <is>
          <t>Secrets and the database port stay private</t>
        </is>
      </c>
      <c r="C107" t="inlineStr">
        <is>
          <t>Privacy and security</t>
        </is>
      </c>
      <c r="D107" t="inlineStr">
        <is>
          <t>Not observable</t>
        </is>
      </c>
      <c r="E107" t="inlineStr">
        <is>
          <t>Not verified</t>
        </is>
      </c>
      <c r="F107" t="inlineStr">
        <is>
          <t>Not verified</t>
        </is>
      </c>
      <c r="G107" t="inlineStr">
        <is>
          <t>Not verified</t>
        </is>
      </c>
      <c r="H107" t="inlineStr">
        <is>
          <t>Not verified</t>
        </is>
      </c>
      <c r="I107" t="n">
        <v>0</v>
      </c>
      <c r="J107" t="n">
        <v>0</v>
      </c>
      <c r="K107" t="n">
        <v>0</v>
      </c>
      <c r="L107" t="inlineStr">
        <is>
          <t>declared</t>
        </is>
      </c>
      <c r="M107" t="inlineStr">
        <is>
          <t>Declared (not observable)</t>
        </is>
      </c>
      <c r="N107" t="inlineStr">
        <is>
          <t>Built</t>
        </is>
      </c>
      <c r="O107" t="inlineStr">
        <is>
          <t>Not compared</t>
        </is>
      </c>
    </row>
    <row r="108">
      <c r="A108" t="inlineStr">
        <is>
          <t>FD-105</t>
        </is>
      </c>
      <c r="B108" t="inlineStr">
        <is>
          <t>All times in UTC and text in any script</t>
        </is>
      </c>
      <c r="C108" t="inlineStr">
        <is>
          <t>Platform and scale</t>
        </is>
      </c>
      <c r="D108" t="inlineStr">
        <is>
          <t>Not observable</t>
        </is>
      </c>
      <c r="E108" t="inlineStr">
        <is>
          <t>Not verified</t>
        </is>
      </c>
      <c r="F108" t="inlineStr">
        <is>
          <t>Not verified</t>
        </is>
      </c>
      <c r="G108" t="inlineStr">
        <is>
          <t>Not verified</t>
        </is>
      </c>
      <c r="H108" t="inlineStr">
        <is>
          <t>Not verified</t>
        </is>
      </c>
      <c r="I108" t="n">
        <v>0</v>
      </c>
      <c r="J108" t="n">
        <v>0</v>
      </c>
      <c r="K108" t="n">
        <v>0</v>
      </c>
      <c r="L108" t="inlineStr">
        <is>
          <t>declared</t>
        </is>
      </c>
      <c r="M108" t="inlineStr">
        <is>
          <t>Declared (not observable)</t>
        </is>
      </c>
      <c r="N108" t="inlineStr">
        <is>
          <t>Built</t>
        </is>
      </c>
      <c r="O108" t="inlineStr">
        <is>
          <t>Not compared</t>
        </is>
      </c>
    </row>
    <row r="109">
      <c r="A109" t="inlineStr">
        <is>
          <t>FD-106</t>
        </is>
      </c>
      <c r="B109" t="inlineStr">
        <is>
          <t>Runs the same on macOS, Windows and Linux</t>
        </is>
      </c>
      <c r="C109" t="inlineStr">
        <is>
          <t>Platform and scale</t>
        </is>
      </c>
      <c r="D109" t="inlineStr">
        <is>
          <t>Not observable</t>
        </is>
      </c>
      <c r="E109" t="inlineStr">
        <is>
          <t>Not verified</t>
        </is>
      </c>
      <c r="F109" t="inlineStr">
        <is>
          <t>Not verified</t>
        </is>
      </c>
      <c r="G109" t="inlineStr">
        <is>
          <t>Not verified</t>
        </is>
      </c>
      <c r="H109" t="inlineStr">
        <is>
          <t>Not verified</t>
        </is>
      </c>
      <c r="I109" t="n">
        <v>0</v>
      </c>
      <c r="J109" t="n">
        <v>0</v>
      </c>
      <c r="K109" t="n">
        <v>0</v>
      </c>
      <c r="L109" t="inlineStr">
        <is>
          <t>declared</t>
        </is>
      </c>
      <c r="M109" t="inlineStr">
        <is>
          <t>Declared (not observable)</t>
        </is>
      </c>
      <c r="N109" t="inlineStr">
        <is>
          <t>Built and tested</t>
        </is>
      </c>
      <c r="O109" t="inlineStr">
        <is>
          <t>Not compared</t>
        </is>
      </c>
    </row>
    <row r="110">
      <c r="A110" t="inlineStr">
        <is>
          <t>FD-107</t>
        </is>
      </c>
      <c r="B110" t="inlineStr">
        <is>
          <t>One diagram file is the source of the model</t>
        </is>
      </c>
      <c r="C110" t="inlineStr">
        <is>
          <t>Platform and scale</t>
        </is>
      </c>
      <c r="D110" t="inlineStr">
        <is>
          <t>Not observable</t>
        </is>
      </c>
      <c r="E110" t="inlineStr">
        <is>
          <t>Not verified</t>
        </is>
      </c>
      <c r="F110" t="inlineStr">
        <is>
          <t>Not verified</t>
        </is>
      </c>
      <c r="G110" t="inlineStr">
        <is>
          <t>Not verified</t>
        </is>
      </c>
      <c r="H110" t="inlineStr">
        <is>
          <t>Not verified</t>
        </is>
      </c>
      <c r="I110" t="n">
        <v>0</v>
      </c>
      <c r="J110" t="n">
        <v>0</v>
      </c>
      <c r="K110" t="n">
        <v>0</v>
      </c>
      <c r="L110" t="inlineStr">
        <is>
          <t>declared</t>
        </is>
      </c>
      <c r="M110" t="inlineStr">
        <is>
          <t>Declared (not observable)</t>
        </is>
      </c>
      <c r="N110" t="inlineStr">
        <is>
          <t>Built</t>
        </is>
      </c>
      <c r="O110" t="inlineStr">
        <is>
          <t>Not compared</t>
        </is>
      </c>
    </row>
    <row r="111">
      <c r="A111" t="inlineStr">
        <is>
          <t>FD-108</t>
        </is>
      </c>
      <c r="B111" t="inlineStr">
        <is>
          <t>Rebuild and demo data in minutes</t>
        </is>
      </c>
      <c r="C111" t="inlineStr">
        <is>
          <t>Platform and scale</t>
        </is>
      </c>
      <c r="D111" t="inlineStr">
        <is>
          <t>Not observable</t>
        </is>
      </c>
      <c r="E111" t="inlineStr">
        <is>
          <t>Not verified</t>
        </is>
      </c>
      <c r="F111" t="inlineStr">
        <is>
          <t>Not verified</t>
        </is>
      </c>
      <c r="G111" t="inlineStr">
        <is>
          <t>Not verified</t>
        </is>
      </c>
      <c r="H111" t="inlineStr">
        <is>
          <t>Not verified</t>
        </is>
      </c>
      <c r="I111" t="n">
        <v>0</v>
      </c>
      <c r="J111" t="n">
        <v>0</v>
      </c>
      <c r="K111" t="n">
        <v>0</v>
      </c>
      <c r="L111" t="inlineStr">
        <is>
          <t>declared</t>
        </is>
      </c>
      <c r="M111" t="inlineStr">
        <is>
          <t>Declared (not observable)</t>
        </is>
      </c>
      <c r="N111" t="inlineStr">
        <is>
          <t>Built and tested</t>
        </is>
      </c>
      <c r="O111" t="inlineStr">
        <is>
          <t>Not compared</t>
        </is>
      </c>
    </row>
    <row r="112">
      <c r="A112" t="inlineStr">
        <is>
          <t>FD-109</t>
        </is>
      </c>
      <c r="B112" t="inlineStr">
        <is>
          <t>A test suite that tries to break every rule</t>
        </is>
      </c>
      <c r="C112" t="inlineStr">
        <is>
          <t>Platform and scale</t>
        </is>
      </c>
      <c r="D112" t="inlineStr">
        <is>
          <t>Not observable</t>
        </is>
      </c>
      <c r="E112" t="inlineStr">
        <is>
          <t>Not verified</t>
        </is>
      </c>
      <c r="F112" t="inlineStr">
        <is>
          <t>Not verified</t>
        </is>
      </c>
      <c r="G112" t="inlineStr">
        <is>
          <t>Not verified</t>
        </is>
      </c>
      <c r="H112" t="inlineStr">
        <is>
          <t>Not verified</t>
        </is>
      </c>
      <c r="I112" t="n">
        <v>0</v>
      </c>
      <c r="J112" t="n">
        <v>0</v>
      </c>
      <c r="K112" t="n">
        <v>0</v>
      </c>
      <c r="L112" t="inlineStr">
        <is>
          <t>declared</t>
        </is>
      </c>
      <c r="M112" t="inlineStr">
        <is>
          <t>Declared (not observable)</t>
        </is>
      </c>
      <c r="N112" t="inlineStr">
        <is>
          <t>Built and tested</t>
        </is>
      </c>
      <c r="O112" t="inlineStr">
        <is>
          <t>Not compared</t>
        </is>
      </c>
    </row>
    <row r="113">
      <c r="A113" t="inlineStr">
        <is>
          <t>FD-110</t>
        </is>
      </c>
      <c r="B113" t="inlineStr">
        <is>
          <t>Backup, restore test and recovery target</t>
        </is>
      </c>
      <c r="C113" t="inlineStr">
        <is>
          <t>Platform and scale</t>
        </is>
      </c>
      <c r="D113" t="inlineStr">
        <is>
          <t>Not observable</t>
        </is>
      </c>
      <c r="E113" t="inlineStr">
        <is>
          <t>Not verified</t>
        </is>
      </c>
      <c r="F113" t="inlineStr">
        <is>
          <t>Not verified</t>
        </is>
      </c>
      <c r="G113" t="inlineStr">
        <is>
          <t>Not verified</t>
        </is>
      </c>
      <c r="H113" t="inlineStr">
        <is>
          <t>Not verified</t>
        </is>
      </c>
      <c r="I113" t="n">
        <v>0</v>
      </c>
      <c r="J113" t="n">
        <v>0</v>
      </c>
      <c r="K113" t="n">
        <v>0</v>
      </c>
      <c r="L113" t="inlineStr">
        <is>
          <t>declared</t>
        </is>
      </c>
      <c r="M113" t="inlineStr">
        <is>
          <t>Declared (not observable)</t>
        </is>
      </c>
      <c r="N113" t="inlineStr">
        <is>
          <t>Planned</t>
        </is>
      </c>
      <c r="O113" t="inlineStr">
        <is>
          <t>Not compared</t>
        </is>
      </c>
    </row>
    <row r="114">
      <c r="A114" t="inlineStr">
        <is>
          <t>FD-111</t>
        </is>
      </c>
      <c r="B114" t="inlineStr">
        <is>
          <t>Naming standards</t>
        </is>
      </c>
      <c r="C114" t="inlineStr">
        <is>
          <t>Platform and scale</t>
        </is>
      </c>
      <c r="D114" t="inlineStr">
        <is>
          <t>Not observable</t>
        </is>
      </c>
      <c r="E114" t="inlineStr">
        <is>
          <t>Not verified</t>
        </is>
      </c>
      <c r="F114" t="inlineStr">
        <is>
          <t>Not verified</t>
        </is>
      </c>
      <c r="G114" t="inlineStr">
        <is>
          <t>Not verified</t>
        </is>
      </c>
      <c r="H114" t="inlineStr">
        <is>
          <t>Not verified</t>
        </is>
      </c>
      <c r="I114" t="n">
        <v>0</v>
      </c>
      <c r="J114" t="n">
        <v>0</v>
      </c>
      <c r="K114" t="n">
        <v>0</v>
      </c>
      <c r="L114" t="inlineStr">
        <is>
          <t>declared</t>
        </is>
      </c>
      <c r="M114" t="inlineStr">
        <is>
          <t>Declared (not observable)</t>
        </is>
      </c>
      <c r="N114" t="inlineStr">
        <is>
          <t>Built</t>
        </is>
      </c>
      <c r="O114" t="inlineStr">
        <is>
          <t>Not compared</t>
        </is>
      </c>
    </row>
    <row r="115">
      <c r="A115" t="inlineStr">
        <is>
          <t>FD-112</t>
        </is>
      </c>
      <c r="B115" t="inlineStr">
        <is>
          <t>Job shares are counted</t>
        </is>
      </c>
      <c r="C115" t="inlineStr">
        <is>
          <t>Jobs</t>
        </is>
      </c>
      <c r="D115" t="inlineStr">
        <is>
          <t>Not observable</t>
        </is>
      </c>
      <c r="E115" t="inlineStr">
        <is>
          <t>Not verified</t>
        </is>
      </c>
      <c r="F115" t="inlineStr">
        <is>
          <t>Not verified</t>
        </is>
      </c>
      <c r="G115" t="inlineStr">
        <is>
          <t>Not verified</t>
        </is>
      </c>
      <c r="H115" t="inlineStr">
        <is>
          <t>Not verified</t>
        </is>
      </c>
      <c r="I115" t="n">
        <v>0</v>
      </c>
      <c r="J115" t="n">
        <v>0</v>
      </c>
      <c r="K115" t="n">
        <v>0</v>
      </c>
      <c r="L115" t="inlineStr">
        <is>
          <t>declared</t>
        </is>
      </c>
      <c r="M115" t="inlineStr">
        <is>
          <t>Declared (not observable)</t>
        </is>
      </c>
      <c r="N115" t="inlineStr">
        <is>
          <t>Built and tested</t>
        </is>
      </c>
      <c r="O115" t="inlineStr">
        <is>
          <t>Not compared</t>
        </is>
      </c>
    </row>
    <row r="116">
      <c r="A116" t="inlineStr">
        <is>
          <t>FD-113</t>
        </is>
      </c>
      <c r="B116" t="inlineStr">
        <is>
          <t>Organisation hierarchy</t>
        </is>
      </c>
      <c r="C116" t="inlineStr">
        <is>
          <t>Organisation and admin</t>
        </is>
      </c>
      <c r="D116" t="inlineStr">
        <is>
          <t>Not observable</t>
        </is>
      </c>
      <c r="E116" t="inlineStr">
        <is>
          <t>Not verified</t>
        </is>
      </c>
      <c r="F116" t="inlineStr">
        <is>
          <t>Not verified</t>
        </is>
      </c>
      <c r="G116" t="inlineStr">
        <is>
          <t>Not verified</t>
        </is>
      </c>
      <c r="H116" t="inlineStr">
        <is>
          <t>Not verified</t>
        </is>
      </c>
      <c r="I116" t="n">
        <v>0</v>
      </c>
      <c r="J116" t="n">
        <v>0</v>
      </c>
      <c r="K116" t="n">
        <v>0</v>
      </c>
      <c r="L116" t="inlineStr">
        <is>
          <t>declared</t>
        </is>
      </c>
      <c r="M116" t="inlineStr">
        <is>
          <t>Declared (not observable)</t>
        </is>
      </c>
      <c r="N116" t="inlineStr">
        <is>
          <t>Built and tested</t>
        </is>
      </c>
      <c r="O116" t="inlineStr">
        <is>
          <t>Not compared</t>
        </is>
      </c>
    </row>
    <row r="117">
      <c r="A117" t="inlineStr">
        <is>
          <t>FD-114</t>
        </is>
      </c>
      <c r="B117" t="inlineStr">
        <is>
          <t>Account administrators per organisation</t>
        </is>
      </c>
      <c r="C117" t="inlineStr">
        <is>
          <t>Organisation and admin</t>
        </is>
      </c>
      <c r="D117" t="inlineStr">
        <is>
          <t>Not observable</t>
        </is>
      </c>
      <c r="E117" t="inlineStr">
        <is>
          <t>Not verified</t>
        </is>
      </c>
      <c r="F117" t="inlineStr">
        <is>
          <t>Not verified</t>
        </is>
      </c>
      <c r="G117" t="inlineStr">
        <is>
          <t>Not verified</t>
        </is>
      </c>
      <c r="H117" t="inlineStr">
        <is>
          <t>Not verified</t>
        </is>
      </c>
      <c r="I117" t="n">
        <v>0</v>
      </c>
      <c r="J117" t="n">
        <v>0</v>
      </c>
      <c r="K117" t="n">
        <v>0</v>
      </c>
      <c r="L117" t="inlineStr">
        <is>
          <t>declared</t>
        </is>
      </c>
      <c r="M117" t="inlineStr">
        <is>
          <t>Declared (not observable)</t>
        </is>
      </c>
      <c r="N117" t="inlineStr">
        <is>
          <t>Built and tested</t>
        </is>
      </c>
      <c r="O117" t="inlineStr">
        <is>
          <t>Not compared</t>
        </is>
      </c>
    </row>
    <row r="118">
      <c r="A118" t="inlineStr">
        <is>
          <t>FD-115</t>
        </is>
      </c>
      <c r="B118" t="inlineStr">
        <is>
          <t>Locations with a map place reference</t>
        </is>
      </c>
      <c r="C118" t="inlineStr">
        <is>
          <t>Organisation and admin</t>
        </is>
      </c>
      <c r="D118" t="inlineStr">
        <is>
          <t>Not observable</t>
        </is>
      </c>
      <c r="E118" t="inlineStr">
        <is>
          <t>Not verified</t>
        </is>
      </c>
      <c r="F118" t="inlineStr">
        <is>
          <t>Not verified</t>
        </is>
      </c>
      <c r="G118" t="inlineStr">
        <is>
          <t>Not verified</t>
        </is>
      </c>
      <c r="H118" t="inlineStr">
        <is>
          <t>Not verified</t>
        </is>
      </c>
      <c r="I118" t="n">
        <v>0</v>
      </c>
      <c r="J118" t="n">
        <v>0</v>
      </c>
      <c r="K118" t="n">
        <v>0</v>
      </c>
      <c r="L118" t="inlineStr">
        <is>
          <t>declared</t>
        </is>
      </c>
      <c r="M118" t="inlineStr">
        <is>
          <t>Declared (not observable)</t>
        </is>
      </c>
      <c r="N118" t="inlineStr">
        <is>
          <t>Built and tested</t>
        </is>
      </c>
      <c r="O118" t="inlineStr">
        <is>
          <t>Not compared</t>
        </is>
      </c>
    </row>
    <row r="119">
      <c r="A119" t="inlineStr">
        <is>
          <t>FD-116</t>
        </is>
      </c>
      <c r="B119" t="inlineStr">
        <is>
          <t>Hiring line: General staffing</t>
        </is>
      </c>
      <c r="C119" t="inlineStr">
        <is>
          <t>Jobs</t>
        </is>
      </c>
      <c r="D119" t="inlineStr">
        <is>
          <t>Not observable</t>
        </is>
      </c>
      <c r="E119" t="inlineStr">
        <is>
          <t>Not verified</t>
        </is>
      </c>
      <c r="F119" t="inlineStr">
        <is>
          <t>Not verified</t>
        </is>
      </c>
      <c r="G119" t="inlineStr">
        <is>
          <t>Not verified</t>
        </is>
      </c>
      <c r="H119" t="inlineStr">
        <is>
          <t>Not verified</t>
        </is>
      </c>
      <c r="I119" t="n">
        <v>0</v>
      </c>
      <c r="J119" t="n">
        <v>0</v>
      </c>
      <c r="K119" t="n">
        <v>0</v>
      </c>
      <c r="L119" t="inlineStr">
        <is>
          <t>declared</t>
        </is>
      </c>
      <c r="M119" t="inlineStr">
        <is>
          <t>Declared (not observable)</t>
        </is>
      </c>
      <c r="N119" t="inlineStr">
        <is>
          <t>Built and tested</t>
        </is>
      </c>
      <c r="O119" t="inlineStr">
        <is>
          <t>Not compared</t>
        </is>
      </c>
    </row>
    <row r="120">
      <c r="A120" t="inlineStr">
        <is>
          <t>FD-117</t>
        </is>
      </c>
      <c r="B120" t="inlineStr">
        <is>
          <t>Hiring line: Professional staffing</t>
        </is>
      </c>
      <c r="C120" t="inlineStr">
        <is>
          <t>Jobs</t>
        </is>
      </c>
      <c r="D120" t="inlineStr">
        <is>
          <t>Not observable</t>
        </is>
      </c>
      <c r="E120" t="inlineStr">
        <is>
          <t>Not verified</t>
        </is>
      </c>
      <c r="F120" t="inlineStr">
        <is>
          <t>Not verified</t>
        </is>
      </c>
      <c r="G120" t="inlineStr">
        <is>
          <t>Not verified</t>
        </is>
      </c>
      <c r="H120" t="inlineStr">
        <is>
          <t>Not verified</t>
        </is>
      </c>
      <c r="I120" t="n">
        <v>0</v>
      </c>
      <c r="J120" t="n">
        <v>0</v>
      </c>
      <c r="K120" t="n">
        <v>0</v>
      </c>
      <c r="L120" t="inlineStr">
        <is>
          <t>declared</t>
        </is>
      </c>
      <c r="M120" t="inlineStr">
        <is>
          <t>Declared (not observable)</t>
        </is>
      </c>
      <c r="N120" t="inlineStr">
        <is>
          <t>Built and tested</t>
        </is>
      </c>
      <c r="O120" t="inlineStr">
        <is>
          <t>Not compared</t>
        </is>
      </c>
    </row>
    <row r="121">
      <c r="A121" t="inlineStr">
        <is>
          <t>FD-118</t>
        </is>
      </c>
      <c r="B121" t="inlineStr">
        <is>
          <t>Hiring line: Permanent hiring</t>
        </is>
      </c>
      <c r="C121" t="inlineStr">
        <is>
          <t>Jobs</t>
        </is>
      </c>
      <c r="D121" t="inlineStr">
        <is>
          <t>Not observable</t>
        </is>
      </c>
      <c r="E121" t="inlineStr">
        <is>
          <t>Not verified</t>
        </is>
      </c>
      <c r="F121" t="inlineStr">
        <is>
          <t>Not verified</t>
        </is>
      </c>
      <c r="G121" t="inlineStr">
        <is>
          <t>Not verified</t>
        </is>
      </c>
      <c r="H121" t="inlineStr">
        <is>
          <t>Not verified</t>
        </is>
      </c>
      <c r="I121" t="n">
        <v>0</v>
      </c>
      <c r="J121" t="n">
        <v>0</v>
      </c>
      <c r="K121" t="n">
        <v>0</v>
      </c>
      <c r="L121" t="inlineStr">
        <is>
          <t>declared</t>
        </is>
      </c>
      <c r="M121" t="inlineStr">
        <is>
          <t>Declared (not observable)</t>
        </is>
      </c>
      <c r="N121" t="inlineStr">
        <is>
          <t>Built and tested</t>
        </is>
      </c>
      <c r="O121" t="inlineStr">
        <is>
          <t>Not compared</t>
        </is>
      </c>
    </row>
    <row r="122">
      <c r="A122" t="inlineStr">
        <is>
          <t>FD-119</t>
        </is>
      </c>
      <c r="B122" t="inlineStr">
        <is>
          <t>Hiring line: Apprentices</t>
        </is>
      </c>
      <c r="C122" t="inlineStr">
        <is>
          <t>Jobs</t>
        </is>
      </c>
      <c r="D122" t="inlineStr">
        <is>
          <t>Not observable</t>
        </is>
      </c>
      <c r="E122" t="inlineStr">
        <is>
          <t>Not verified</t>
        </is>
      </c>
      <c r="F122" t="inlineStr">
        <is>
          <t>Not verified</t>
        </is>
      </c>
      <c r="G122" t="inlineStr">
        <is>
          <t>Not verified</t>
        </is>
      </c>
      <c r="H122" t="inlineStr">
        <is>
          <t>Not verified</t>
        </is>
      </c>
      <c r="I122" t="n">
        <v>0</v>
      </c>
      <c r="J122" t="n">
        <v>0</v>
      </c>
      <c r="K122" t="n">
        <v>0</v>
      </c>
      <c r="L122" t="inlineStr">
        <is>
          <t>declared</t>
        </is>
      </c>
      <c r="M122" t="inlineStr">
        <is>
          <t>Declared (not observable)</t>
        </is>
      </c>
      <c r="N122" t="inlineStr">
        <is>
          <t>Built and tested</t>
        </is>
      </c>
      <c r="O122" t="inlineStr">
        <is>
          <t>Not compared</t>
        </is>
      </c>
    </row>
    <row r="123">
      <c r="A123" t="inlineStr">
        <is>
          <t>FD-120</t>
        </is>
      </c>
      <c r="B123" t="inlineStr">
        <is>
          <t>Hiring line: Campus and freshers</t>
        </is>
      </c>
      <c r="C123" t="inlineStr">
        <is>
          <t>Campus</t>
        </is>
      </c>
      <c r="D123" t="inlineStr">
        <is>
          <t>Not observable</t>
        </is>
      </c>
      <c r="E123" t="inlineStr">
        <is>
          <t>Not verified</t>
        </is>
      </c>
      <c r="F123" t="inlineStr">
        <is>
          <t>Not verified</t>
        </is>
      </c>
      <c r="G123" t="inlineStr">
        <is>
          <t>Not verified</t>
        </is>
      </c>
      <c r="H123" t="inlineStr">
        <is>
          <t>Not verified</t>
        </is>
      </c>
      <c r="I123" t="n">
        <v>0</v>
      </c>
      <c r="J123" t="n">
        <v>0</v>
      </c>
      <c r="K123" t="n">
        <v>0</v>
      </c>
      <c r="L123" t="inlineStr">
        <is>
          <t>declared</t>
        </is>
      </c>
      <c r="M123" t="inlineStr">
        <is>
          <t>Declared (not observable)</t>
        </is>
      </c>
      <c r="N123" t="inlineStr">
        <is>
          <t>Built and tested</t>
        </is>
      </c>
      <c r="O123" t="inlineStr">
        <is>
          <t>Not compared</t>
        </is>
      </c>
    </row>
    <row r="124">
      <c r="A124" t="inlineStr">
        <is>
          <t>FD-121</t>
        </is>
      </c>
      <c r="B124" t="inlineStr">
        <is>
          <t>Hiring line: Consultant marketplace</t>
        </is>
      </c>
      <c r="C124" t="inlineStr">
        <is>
          <t>Consultants and sourcing</t>
        </is>
      </c>
      <c r="D124" t="inlineStr">
        <is>
          <t>Not observable</t>
        </is>
      </c>
      <c r="E124" t="inlineStr">
        <is>
          <t>Not verified</t>
        </is>
      </c>
      <c r="F124" t="inlineStr">
        <is>
          <t>Not verified</t>
        </is>
      </c>
      <c r="G124" t="inlineStr">
        <is>
          <t>Not verified</t>
        </is>
      </c>
      <c r="H124" t="inlineStr">
        <is>
          <t>Not verified</t>
        </is>
      </c>
      <c r="I124" t="n">
        <v>0</v>
      </c>
      <c r="J124" t="n">
        <v>0</v>
      </c>
      <c r="K124" t="n">
        <v>0</v>
      </c>
      <c r="L124" t="inlineStr">
        <is>
          <t>declared</t>
        </is>
      </c>
      <c r="M124" t="inlineStr">
        <is>
          <t>Declared (not observable)</t>
        </is>
      </c>
      <c r="N124" t="inlineStr">
        <is>
          <t>Built and tested</t>
        </is>
      </c>
      <c r="O124" t="inlineStr">
        <is>
          <t>Not compared</t>
        </is>
      </c>
    </row>
    <row r="125">
      <c r="A125" t="inlineStr">
        <is>
          <t>FD-122</t>
        </is>
      </c>
      <c r="B125" t="inlineStr">
        <is>
          <t>Hiring line: Managed remote workforce</t>
        </is>
      </c>
      <c r="C125" t="inlineStr">
        <is>
          <t>Jobs</t>
        </is>
      </c>
      <c r="D125" t="inlineStr">
        <is>
          <t>Not observable</t>
        </is>
      </c>
      <c r="E125" t="inlineStr">
        <is>
          <t>Not verified</t>
        </is>
      </c>
      <c r="F125" t="inlineStr">
        <is>
          <t>Not verified</t>
        </is>
      </c>
      <c r="G125" t="inlineStr">
        <is>
          <t>Not verified</t>
        </is>
      </c>
      <c r="H125" t="inlineStr">
        <is>
          <t>Not verified</t>
        </is>
      </c>
      <c r="I125" t="n">
        <v>0</v>
      </c>
      <c r="J125" t="n">
        <v>0</v>
      </c>
      <c r="K125" t="n">
        <v>0</v>
      </c>
      <c r="L125" t="inlineStr">
        <is>
          <t>declared</t>
        </is>
      </c>
      <c r="M125" t="inlineStr">
        <is>
          <t>Declared (not observable)</t>
        </is>
      </c>
      <c r="N125" t="inlineStr">
        <is>
          <t>Built and tested</t>
        </is>
      </c>
      <c r="O125" t="inlineStr">
        <is>
          <t>Not compared</t>
        </is>
      </c>
    </row>
    <row r="126">
      <c r="A126" t="inlineStr">
        <is>
          <t>FD-123</t>
        </is>
      </c>
      <c r="B126" t="inlineStr">
        <is>
          <t>Hiring line: Gig work</t>
        </is>
      </c>
      <c r="C126" t="inlineStr">
        <is>
          <t>Gig</t>
        </is>
      </c>
      <c r="D126" t="inlineStr">
        <is>
          <t>Not observable</t>
        </is>
      </c>
      <c r="E126" t="inlineStr">
        <is>
          <t>Not verified</t>
        </is>
      </c>
      <c r="F126" t="inlineStr">
        <is>
          <t>Not verified</t>
        </is>
      </c>
      <c r="G126" t="inlineStr">
        <is>
          <t>Not verified</t>
        </is>
      </c>
      <c r="H126" t="inlineStr">
        <is>
          <t>Not verified</t>
        </is>
      </c>
      <c r="I126" t="n">
        <v>0</v>
      </c>
      <c r="J126" t="n">
        <v>0</v>
      </c>
      <c r="K126" t="n">
        <v>0</v>
      </c>
      <c r="L126" t="inlineStr">
        <is>
          <t>declared</t>
        </is>
      </c>
      <c r="M126" t="inlineStr">
        <is>
          <t>Declared (not observable)</t>
        </is>
      </c>
      <c r="N126" t="inlineStr">
        <is>
          <t>Built</t>
        </is>
      </c>
      <c r="O126" t="inlineStr">
        <is>
          <t>Not compared</t>
        </is>
      </c>
    </row>
    <row r="128">
      <c r="B128" s="48" t="inlineStr">
        <is>
          <t>Counts (live formulas)</t>
        </is>
      </c>
    </row>
    <row r="129">
      <c r="B129" t="inlineStr">
        <is>
          <t>Yes</t>
        </is>
      </c>
      <c r="E129">
        <f>COUNTIF(E$4:E$126,"Yes")</f>
        <v/>
      </c>
      <c r="F129">
        <f>COUNTIF(F$4:F$126,"Yes")</f>
        <v/>
      </c>
      <c r="G129">
        <f>COUNTIF(G$4:G$126,"Yes")</f>
        <v/>
      </c>
      <c r="H129">
        <f>COUNTIF(H$4:H$126,"Yes")</f>
        <v/>
      </c>
    </row>
    <row r="130">
      <c r="B130" t="inlineStr">
        <is>
          <t>Partial</t>
        </is>
      </c>
      <c r="E130">
        <f>COUNTIF(E$4:E$126,"Partial")</f>
        <v/>
      </c>
      <c r="F130">
        <f>COUNTIF(F$4:F$126,"Partial")</f>
        <v/>
      </c>
      <c r="G130">
        <f>COUNTIF(G$4:G$126,"Partial")</f>
        <v/>
      </c>
      <c r="H130">
        <f>COUNTIF(H$4:H$126,"Partial")</f>
        <v/>
      </c>
    </row>
    <row r="131">
      <c r="B131" t="inlineStr">
        <is>
          <t>No</t>
        </is>
      </c>
      <c r="E131">
        <f>COUNTIF(E$4:E$126,"No")</f>
        <v/>
      </c>
      <c r="F131">
        <f>COUNTIF(F$4:F$126,"No")</f>
        <v/>
      </c>
      <c r="G131">
        <f>COUNTIF(G$4:G$126,"No")</f>
        <v/>
      </c>
      <c r="H131">
        <f>COUNTIF(H$4:H$126,"No")</f>
        <v/>
      </c>
    </row>
    <row r="132">
      <c r="B132" t="inlineStr">
        <is>
          <t>Not verified</t>
        </is>
      </c>
      <c r="E132">
        <f>COUNTIF(E$4:E$126,"Not verified")</f>
        <v/>
      </c>
      <c r="F132">
        <f>COUNTIF(F$4:F$126,"Not verified")</f>
        <v/>
      </c>
      <c r="G132">
        <f>COUNTIF(G$4:G$126,"Not verified")</f>
        <v/>
      </c>
      <c r="H132">
        <f>COUNTIF(H$4:H$126,"Not verified")</f>
        <v/>
      </c>
    </row>
  </sheetData>
  <autoFilter ref="A3:O126"/>
  <dataValidations count="4">
    <dataValidation sqref="E4:E126" showDropDown="0" showInputMessage="0" showErrorMessage="1" allowBlank="1" errorTitle="Not in the schema list" error="Pick a value from the CellValue list on the Allowed values sheet." type="list">
      <formula1>='Allowed values'!$B$81:$B$84</formula1>
    </dataValidation>
    <dataValidation sqref="F4:F126" showDropDown="0" showInputMessage="0" showErrorMessage="1" allowBlank="1" errorTitle="Not in the schema list" error="Pick a value from the CellValue list on the Allowed values sheet." type="list">
      <formula1>='Allowed values'!$B$81:$B$84</formula1>
    </dataValidation>
    <dataValidation sqref="G4:G126" showDropDown="0" showInputMessage="0" showErrorMessage="1" allowBlank="1" errorTitle="Not in the schema list" error="Pick a value from the CellValue list on the Allowed values sheet." type="list">
      <formula1>='Allowed values'!$B$81:$B$84</formula1>
    </dataValidation>
    <dataValidation sqref="H4:H126" showDropDown="0" showInputMessage="0" showErrorMessage="1" allowBlank="1" errorTitle="Not in the schema list" error="Pick a value from the CellValue list on the Allowed values sheet." type="list">
      <formula1>='Allowed values'!$B$81:$B$84</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s>
  <sheetData>
    <row r="1">
      <c r="A1" s="42" t="inlineStr">
        <is>
          <t>The competing products that were studied.</t>
        </is>
      </c>
    </row>
    <row r="3">
      <c r="A3" s="24" t="inlineStr">
        <is>
          <t>Competitor</t>
        </is>
      </c>
      <c r="B3" s="24" t="inlineStr">
        <is>
          <t>Why studied</t>
        </is>
      </c>
      <c r="C3" s="24" t="inlineStr">
        <is>
          <t>Verified by and when</t>
        </is>
      </c>
      <c r="D3" s="24" t="inlineStr">
        <is>
          <t>What was studied</t>
        </is>
      </c>
      <c r="E3" s="24" t="inlineStr">
        <is>
          <t>Own pages listed</t>
        </is>
      </c>
      <c r="F3" s="24" t="inlineStr">
        <is>
          <t>Read (16 Oct)</t>
        </is>
      </c>
      <c r="G3" s="24" t="inlineStr">
        <is>
          <t>Search summary only (16 Oct)</t>
        </is>
      </c>
      <c r="H3" s="24" t="inlineStr">
        <is>
          <t>Not readable (16 Oct)</t>
        </is>
      </c>
      <c r="I3" s="24" t="inlineStr">
        <is>
          <t>Yes</t>
        </is>
      </c>
      <c r="J3" s="24" t="inlineStr">
        <is>
          <t>Partial</t>
        </is>
      </c>
      <c r="K3" s="24" t="inlineStr">
        <is>
          <t>No</t>
        </is>
      </c>
      <c r="L3" s="24" t="inlineStr">
        <is>
          <t>Not verified</t>
        </is>
      </c>
      <c r="M3" s="24" t="inlineStr">
        <is>
          <t>Limits of the evidence</t>
        </is>
      </c>
    </row>
    <row r="4">
      <c r="A4" t="inlineStr">
        <is>
          <t>Naukri</t>
        </is>
      </c>
      <c r="B4" t="inlineStr">
        <is>
          <t>Largest Indian job board; employer search product called Resdex. Required: studied.</t>
        </is>
      </c>
      <c r="C4" t="inlineStr">
        <is>
          <t>Yash, 15 October 2026 (verification log)</t>
        </is>
      </c>
      <c r="D4" t="inlineStr">
        <is>
          <t>Company help and blog pages; search summaries when pages refused download</t>
        </is>
      </c>
      <c r="E4" t="n">
        <v>5</v>
      </c>
      <c r="F4" t="n">
        <v>0</v>
      </c>
      <c r="G4" t="n">
        <v>5</v>
      </c>
      <c r="H4" t="n">
        <v>2</v>
      </c>
      <c r="I4" t="n">
        <v>29</v>
      </c>
      <c r="J4" t="n">
        <v>9</v>
      </c>
      <c r="K4" t="n">
        <v>6</v>
      </c>
      <c r="L4" t="n">
        <v>28</v>
      </c>
      <c r="M4" t="inlineStr">
        <is>
          <t>Pages refused direct download (403) on 16 October; cells rest on search summaries.</t>
        </is>
      </c>
    </row>
    <row r="5">
      <c r="A5" t="inlineStr">
        <is>
          <t>Monster</t>
        </is>
      </c>
      <c r="B5" t="inlineStr">
        <is>
          <t>Global job board; resume search and credits. Required: studied.</t>
        </is>
      </c>
      <c r="C5" t="inlineStr">
        <is>
          <t>Ishaan, 15 October 2026 (verification log)</t>
        </is>
      </c>
      <c r="D5" t="inlineStr">
        <is>
          <t>Public Monster pages and help centre</t>
        </is>
      </c>
      <c r="E5" t="n">
        <v>9</v>
      </c>
      <c r="F5" t="n">
        <v>3</v>
      </c>
      <c r="G5" t="n">
        <v>1</v>
      </c>
      <c r="H5" t="n">
        <v>0</v>
      </c>
      <c r="I5" t="n">
        <v>18</v>
      </c>
      <c r="J5" t="n">
        <v>9</v>
      </c>
      <c r="K5" t="n">
        <v>13</v>
      </c>
      <c r="L5" t="n">
        <v>32</v>
      </c>
      <c r="M5" t="inlineStr">
        <is>
          <t>Sign-in, profile editor and employer dashboard cannot be opened without an account; Monster India is now Foundit.</t>
        </is>
      </c>
    </row>
    <row r="6">
      <c r="A6" t="inlineStr">
        <is>
          <t>LinkedIn</t>
        </is>
      </c>
      <c r="B6" t="inlineStr">
        <is>
          <t>Professional network with Recruiter and Recruiter Lite. Required: studied.</t>
        </is>
      </c>
      <c r="C6" t="inlineStr">
        <is>
          <t>Prabhav, 15 October 2026 (verification log); 16 October re-read of the help pages</t>
        </is>
      </c>
      <c r="D6" t="inlineStr">
        <is>
          <t>LinkedIn Help pages for members and Recruiter</t>
        </is>
      </c>
      <c r="E6" t="n">
        <v>4</v>
      </c>
      <c r="F6" t="n">
        <v>7</v>
      </c>
      <c r="G6" t="n">
        <v>6</v>
      </c>
      <c r="H6" t="n">
        <v>0</v>
      </c>
      <c r="I6" t="n">
        <v>43</v>
      </c>
      <c r="J6" t="n">
        <v>14</v>
      </c>
      <c r="K6" t="n">
        <v>8</v>
      </c>
      <c r="L6" t="n">
        <v>7</v>
      </c>
      <c r="M6" t="inlineStr">
        <is>
          <t>Some pages are search summaries only; university guides are third-party.</t>
        </is>
      </c>
    </row>
    <row r="7">
      <c r="A7" t="inlineStr">
        <is>
          <t>Naukri Campus</t>
        </is>
      </c>
      <c r="B7" t="inlineStr">
        <is>
          <t>Campus and fresher hiring product. Required: studied.</t>
        </is>
      </c>
      <c r="C7" t="inlineStr">
        <is>
          <t>Checked only where public pages describe it</t>
        </is>
      </c>
      <c r="D7" t="inlineStr">
        <is>
          <t>Older mailers and student pages</t>
        </is>
      </c>
      <c r="E7" t="n">
        <v>2</v>
      </c>
      <c r="F7" t="n">
        <v>0</v>
      </c>
      <c r="G7" t="n">
        <v>1</v>
      </c>
      <c r="H7" t="n">
        <v>1</v>
      </c>
      <c r="I7" t="n">
        <v>3</v>
      </c>
      <c r="J7" t="n">
        <v>0</v>
      </c>
      <c r="K7" t="n">
        <v>0</v>
      </c>
      <c r="L7" t="n">
        <v>1</v>
      </c>
      <c r="M7" t="inlineStr">
        <is>
          <t>Main pages not readable (403); only one leader for campus features.</t>
        </is>
      </c>
    </row>
  </sheetData>
  <autoFilter ref="A3:M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S2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s>
  <sheetData>
    <row r="1">
      <c r="A1" s="42" t="inlineStr">
        <is>
          <t>Output document (draft, deliverable c, Step 04): the 20 NFRs from Talentra-Requirements.xlsx, plus NFR-21 to NFR-26, which are my proposals (status Proposed): NFR-21 and NFR-22 for the Compliance and Accessibility gaps, NFR-23 to NFR-26 for load time, data quality, concurrency and cost, each from facts already in the project. All six are left out of the Step 04 playbook checks. Columns follow the nfr table. Numeric targets are filled only where the requirement states a number; derivation and the measured-by kind are my reading and need a person to confirm.</t>
        </is>
      </c>
    </row>
    <row r="3">
      <c r="A3" s="24" t="inlineStr">
        <is>
          <t>nfr_id</t>
        </is>
      </c>
      <c r="B3" s="24" t="inlineStr">
        <is>
          <t>study_id</t>
        </is>
      </c>
      <c r="C3" s="24" t="inlineStr">
        <is>
          <t>category</t>
        </is>
      </c>
      <c r="D3" s="24" t="inlineStr">
        <is>
          <t>requirement_statement</t>
        </is>
      </c>
      <c r="E3" s="24" t="inlineStr">
        <is>
          <t>source_reference</t>
        </is>
      </c>
      <c r="F3" s="24" t="inlineStr">
        <is>
          <t>metric</t>
        </is>
      </c>
      <c r="G3" s="24" t="inlineStr">
        <is>
          <t>unit</t>
        </is>
      </c>
      <c r="H3" s="24" t="inlineStr">
        <is>
          <t>comparator</t>
        </is>
      </c>
      <c r="I3" s="24" t="inlineStr">
        <is>
          <t>target_value</t>
        </is>
      </c>
      <c r="J3" s="24" t="inlineStr">
        <is>
          <t>target_text</t>
        </is>
      </c>
      <c r="K3" s="24" t="inlineStr">
        <is>
          <t>target_status</t>
        </is>
      </c>
      <c r="L3" s="24" t="inlineStr">
        <is>
          <t>test_method</t>
        </is>
      </c>
      <c r="M3" s="24" t="inlineStr">
        <is>
          <t>measured_by</t>
        </is>
      </c>
      <c r="N3" s="24" t="inlineStr">
        <is>
          <t>evidence_reference</t>
        </is>
      </c>
      <c r="O3" s="24" t="inlineStr">
        <is>
          <t>derived_from</t>
        </is>
      </c>
      <c r="P3" s="24" t="inlineStr">
        <is>
          <t>volume_basis</t>
        </is>
      </c>
      <c r="Q3" s="24" t="inlineStr">
        <is>
          <t>regulation_name</t>
        </is>
      </c>
      <c r="R3" s="24" t="inlineStr">
        <is>
          <t>our_status</t>
        </is>
      </c>
      <c r="S3" s="24" t="inlineStr">
        <is>
          <t>status_detail</t>
        </is>
      </c>
    </row>
    <row r="4">
      <c r="A4" t="inlineStr">
        <is>
          <t>NFR-01</t>
        </is>
      </c>
      <c r="B4" t="inlineStr">
        <is>
          <t>FDS-01</t>
        </is>
      </c>
      <c r="C4" t="inlineStr">
        <is>
          <t>Scale</t>
        </is>
      </c>
      <c r="D4" t="inlineStr">
        <is>
          <t>The design holds 1 million candidates, 1 million job requirements and 100 million applications.</t>
        </is>
      </c>
      <c r="E4" t="inlineStr">
        <is>
          <t>Requirements workbook, Non-Functional Requirements, NFR-01</t>
        </is>
      </c>
      <c r="F4" t="inlineStr">
        <is>
          <t>Candidates held</t>
        </is>
      </c>
      <c r="G4" t="inlineStr">
        <is>
          <t>candidates</t>
        </is>
      </c>
      <c r="H4" t="inlineStr">
        <is>
          <t>At least</t>
        </is>
      </c>
      <c r="I4" t="n">
        <v>1000000</v>
      </c>
      <c r="J4" t="inlineStr">
        <is>
          <t>1M candidates, 100M applications</t>
        </is>
      </c>
      <c r="K4" t="inlineStr">
        <is>
          <t>Set</t>
        </is>
      </c>
      <c r="L4" t="inlineStr">
        <is>
          <t>Row estimates per table; partitioning; 11 MB of disk per 1,000 candidates measured. Full load needs a larger machine (Phase 5)</t>
        </is>
      </c>
      <c r="M4" t="inlineStr">
        <is>
          <t>Document check</t>
        </is>
      </c>
      <c r="O4" t="inlineStr">
        <is>
          <t>Volumes</t>
        </is>
      </c>
      <c r="P4" t="inlineStr">
        <is>
          <t>1M candidates and 100M applications from the brief</t>
        </is>
      </c>
      <c r="R4" t="inlineStr">
        <is>
          <t>Designed</t>
        </is>
      </c>
      <c r="S4" t="inlineStr">
        <is>
          <t>Designed. Proven to 50,000 candidates and 250,000 applications so far</t>
        </is>
      </c>
    </row>
    <row r="5">
      <c r="A5" t="inlineStr">
        <is>
          <t>NFR-02</t>
        </is>
      </c>
      <c r="B5" t="inlineStr">
        <is>
          <t>FDS-01</t>
        </is>
      </c>
      <c r="C5" t="inlineStr">
        <is>
          <t>Scale</t>
        </is>
      </c>
      <c r="D5" t="inlineStr">
        <is>
          <t>The largest tables are partitioned from day one: applications by candidate, event tables by month.</t>
        </is>
      </c>
      <c r="E5" t="inlineStr">
        <is>
          <t>Requirements workbook, Non-Functional Requirements, NFR-02</t>
        </is>
      </c>
      <c r="F5" t="inlineStr">
        <is>
          <t>Partitioned tables</t>
        </is>
      </c>
      <c r="G5" t="inlineStr">
        <is>
          <t>tables</t>
        </is>
      </c>
      <c r="H5" t="inlineStr">
        <is>
          <t>At least</t>
        </is>
      </c>
      <c r="I5" t="n">
        <v>23</v>
      </c>
      <c r="J5" t="inlineStr">
        <is>
          <t>23 partitioned tables</t>
        </is>
      </c>
      <c r="K5" t="inlineStr">
        <is>
          <t>Set</t>
        </is>
      </c>
      <c r="L5" t="inlineStr">
        <is>
          <t>530 partitions; partition tests; 16 hash partitions locally, 64 in production</t>
        </is>
      </c>
      <c r="M5" t="inlineStr">
        <is>
          <t>Automated test</t>
        </is>
      </c>
      <c r="O5" t="inlineStr">
        <is>
          <t>Team decision</t>
        </is>
      </c>
      <c r="R5" t="inlineStr">
        <is>
          <t>Built and tested</t>
        </is>
      </c>
      <c r="S5" t="inlineStr">
        <is>
          <t>Built and tested</t>
        </is>
      </c>
    </row>
    <row r="6">
      <c r="A6" t="inlineStr">
        <is>
          <t>NFR-03</t>
        </is>
      </c>
      <c r="B6" t="inlineStr">
        <is>
          <t>FDS-01</t>
        </is>
      </c>
      <c r="C6" t="inlineStr">
        <is>
          <t>Performance</t>
        </is>
      </c>
      <c r="D6" t="inlineStr">
        <is>
          <t>Candidate search by skill, the employer pipeline and my-applications views return within agreed times at full scale.</t>
        </is>
      </c>
      <c r="E6" t="inlineStr">
        <is>
          <t>Requirements workbook, Non-Functional Requirements, NFR-03</t>
        </is>
      </c>
      <c r="F6" t="inlineStr">
        <is>
          <t>Response time of the three main views</t>
        </is>
      </c>
      <c r="J6" t="inlineStr">
        <is>
          <t>To be set from measurements</t>
        </is>
      </c>
      <c r="K6" t="inlineStr">
        <is>
          <t>To be set</t>
        </is>
      </c>
      <c r="L6" t="inlineStr">
        <is>
          <t>EXPLAIN ANALYZE at scale; both partition orders compared</t>
        </is>
      </c>
      <c r="M6" t="inlineStr">
        <is>
          <t>Query plan</t>
        </is>
      </c>
      <c r="O6" t="inlineStr">
        <is>
          <t>Not yet derived</t>
        </is>
      </c>
      <c r="R6" t="inlineStr">
        <is>
          <t>Planned</t>
        </is>
      </c>
      <c r="S6" t="inlineStr">
        <is>
          <t>Planned (B71 to B73)</t>
        </is>
      </c>
    </row>
    <row r="7">
      <c r="A7" t="inlineStr">
        <is>
          <t>NFR-04</t>
        </is>
      </c>
      <c r="B7" t="inlineStr">
        <is>
          <t>FDS-01</t>
        </is>
      </c>
      <c r="C7" t="inlineStr">
        <is>
          <t>Performance</t>
        </is>
      </c>
      <c r="D7" t="inlineStr">
        <is>
          <t>Indexes exist for every foreign key to a business table; lookups are not indexed because they are never deleted.</t>
        </is>
      </c>
      <c r="E7" t="inlineStr">
        <is>
          <t>Requirements workbook, Non-Functional Requirements, NFR-04</t>
        </is>
      </c>
      <c r="F7" t="inlineStr">
        <is>
          <t>Business foreign keys without an index</t>
        </is>
      </c>
      <c r="G7" t="inlineStr">
        <is>
          <t>foreign keys</t>
        </is>
      </c>
      <c r="H7" t="inlineStr">
        <is>
          <t>At most</t>
        </is>
      </c>
      <c r="I7" t="n">
        <v>0</v>
      </c>
      <c r="J7" t="inlineStr">
        <is>
          <t>No unindexed business foreign key</t>
        </is>
      </c>
      <c r="K7" t="inlineStr">
        <is>
          <t>Set</t>
        </is>
      </c>
      <c r="L7" t="inlineStr">
        <is>
          <t>fk_index rule in the generator plus 14 partial indexes on nullable keys (IX1); two documented exceptions: audit keys to user_account (SO25) and notification_delivery.notification_template_id (IX2); a catalogue test in tests/extra_security.sql fails on any other unindexed key</t>
        </is>
      </c>
      <c r="M7" t="inlineStr">
        <is>
          <t>Automated test</t>
        </is>
      </c>
      <c r="O7" t="inlineStr">
        <is>
          <t>Team decision</t>
        </is>
      </c>
      <c r="R7" t="inlineStr">
        <is>
          <t>Built and tested</t>
        </is>
      </c>
      <c r="S7" t="inlineStr">
        <is>
          <t>Built and tested (review round 7)</t>
        </is>
      </c>
    </row>
    <row r="8">
      <c r="A8" t="inlineStr">
        <is>
          <t>NFR-05</t>
        </is>
      </c>
      <c r="B8" t="inlineStr">
        <is>
          <t>FDS-01</t>
        </is>
      </c>
      <c r="C8" t="inlineStr">
        <is>
          <t>Data integrity</t>
        </is>
      </c>
      <c r="D8" t="inlineStr">
        <is>
          <t>Business rules are enforced by the database: keys, 633 check rules, unique and exclusion rules, composite foreign keys.</t>
        </is>
      </c>
      <c r="E8" t="inlineStr">
        <is>
          <t>Requirements workbook, Non-Functional Requirements, NFR-05</t>
        </is>
      </c>
      <c r="F8" t="inlineStr">
        <is>
          <t>Business rules that exist only in application code</t>
        </is>
      </c>
      <c r="G8" t="inlineStr">
        <is>
          <t>rules</t>
        </is>
      </c>
      <c r="H8" t="inlineStr">
        <is>
          <t>At most</t>
        </is>
      </c>
      <c r="I8" t="n">
        <v>0</v>
      </c>
      <c r="J8" t="inlineStr">
        <is>
          <t>No rule only in application code</t>
        </is>
      </c>
      <c r="K8" t="inlineStr">
        <is>
          <t>Set</t>
        </is>
      </c>
      <c r="L8" t="inlineStr">
        <is>
          <t>2066 of 2066 constraint tests pass</t>
        </is>
      </c>
      <c r="M8" t="inlineStr">
        <is>
          <t>Automated test</t>
        </is>
      </c>
      <c r="O8" t="inlineStr">
        <is>
          <t>Team decision</t>
        </is>
      </c>
      <c r="R8" t="inlineStr">
        <is>
          <t>Built and tested</t>
        </is>
      </c>
      <c r="S8" t="inlineStr">
        <is>
          <t>Built and tested</t>
        </is>
      </c>
    </row>
    <row r="9">
      <c r="A9" t="inlineStr">
        <is>
          <t>NFR-06</t>
        </is>
      </c>
      <c r="B9" t="inlineStr">
        <is>
          <t>FDS-01</t>
        </is>
      </c>
      <c r="C9" t="inlineStr">
        <is>
          <t>Data integrity</t>
        </is>
      </c>
      <c r="D9" t="inlineStr">
        <is>
          <t>Every foreign key has an explicit delete rule; business data is never silently cascaded away.</t>
        </is>
      </c>
      <c r="E9" t="inlineStr">
        <is>
          <t>Requirements workbook, Non-Functional Requirements, NFR-06</t>
        </is>
      </c>
      <c r="F9" t="inlineStr">
        <is>
          <t>Foreign keys without an explicit delete rule</t>
        </is>
      </c>
      <c r="J9" t="inlineStr">
        <is>
          <t>RESTRICT by default</t>
        </is>
      </c>
      <c r="K9" t="inlineStr">
        <is>
          <t>Set</t>
        </is>
      </c>
      <c r="L9" t="inlineStr">
        <is>
          <t>docs/modules/*/relationships.md; key tests</t>
        </is>
      </c>
      <c r="M9" t="inlineStr">
        <is>
          <t>Automated test</t>
        </is>
      </c>
      <c r="O9" t="inlineStr">
        <is>
          <t>Team decision</t>
        </is>
      </c>
      <c r="R9" t="inlineStr">
        <is>
          <t>Built</t>
        </is>
      </c>
      <c r="S9" t="inlineStr">
        <is>
          <t>Built</t>
        </is>
      </c>
    </row>
    <row r="10">
      <c r="A10" t="inlineStr">
        <is>
          <t>NFR-07</t>
        </is>
      </c>
      <c r="B10" t="inlineStr">
        <is>
          <t>FDS-01</t>
        </is>
      </c>
      <c r="C10" t="inlineStr">
        <is>
          <t>Auditability</t>
        </is>
      </c>
      <c r="D10" t="inlineStr">
        <is>
          <t>Every row records who and when; history tables are append-only and refuse update and delete.</t>
        </is>
      </c>
      <c r="E10" t="inlineStr">
        <is>
          <t>Requirements workbook, Non-Functional Requirements, NFR-07</t>
        </is>
      </c>
      <c r="F10" t="inlineStr">
        <is>
          <t>Business tables recording who and when</t>
        </is>
      </c>
      <c r="J10" t="inlineStr">
        <is>
          <t>All business tables</t>
        </is>
      </c>
      <c r="K10" t="inlineStr">
        <is>
          <t>Set</t>
        </is>
      </c>
      <c r="L10" t="inlineStr">
        <is>
          <t>Audit columns; append-only triggers; append-only tests</t>
        </is>
      </c>
      <c r="M10" t="inlineStr">
        <is>
          <t>Automated test</t>
        </is>
      </c>
      <c r="O10" t="inlineStr">
        <is>
          <t>Team decision</t>
        </is>
      </c>
      <c r="R10" t="inlineStr">
        <is>
          <t>Built and tested</t>
        </is>
      </c>
      <c r="S10" t="inlineStr">
        <is>
          <t>Built and tested</t>
        </is>
      </c>
    </row>
    <row r="11">
      <c r="A11" t="inlineStr">
        <is>
          <t>NFR-08</t>
        </is>
      </c>
      <c r="B11" t="inlineStr">
        <is>
          <t>FDS-01</t>
        </is>
      </c>
      <c r="C11" t="inlineStr">
        <is>
          <t>Auditability</t>
        </is>
      </c>
      <c r="D11" t="inlineStr">
        <is>
          <t>Query timing is observable.</t>
        </is>
      </c>
      <c r="E11" t="inlineStr">
        <is>
          <t>Requirements workbook, Non-Functional Requirements, NFR-08</t>
        </is>
      </c>
      <c r="F11" t="inlineStr">
        <is>
          <t>Query timing observable</t>
        </is>
      </c>
      <c r="J11" t="inlineStr">
        <is>
          <t>pg_stat_statements on</t>
        </is>
      </c>
      <c r="K11" t="inlineStr">
        <is>
          <t>Set</t>
        </is>
      </c>
      <c r="L11" t="inlineStr">
        <is>
          <t>schema/00_extensions.sql</t>
        </is>
      </c>
      <c r="M11" t="inlineStr">
        <is>
          <t>Document check</t>
        </is>
      </c>
      <c r="O11" t="inlineStr">
        <is>
          <t>Team decision</t>
        </is>
      </c>
      <c r="R11" t="inlineStr">
        <is>
          <t>Built</t>
        </is>
      </c>
      <c r="S11" t="inlineStr">
        <is>
          <t>Built</t>
        </is>
      </c>
    </row>
    <row r="12">
      <c r="A12" t="inlineStr">
        <is>
          <t>NFR-09</t>
        </is>
      </c>
      <c r="B12" t="inlineStr">
        <is>
          <t>FDS-01</t>
        </is>
      </c>
      <c r="C12" t="inlineStr">
        <is>
          <t>Security</t>
        </is>
      </c>
      <c r="D12" t="inlineStr">
        <is>
          <t>Row-level security, roles and permissions on tables.</t>
        </is>
      </c>
      <c r="E12" t="inlineStr">
        <is>
          <t>Requirements workbook, Non-Functional Requirements, NFR-09</t>
        </is>
      </c>
      <c r="F12" t="inlineStr">
        <is>
          <t>Access rules per role</t>
        </is>
      </c>
      <c r="J12" t="inlineStr">
        <is>
          <t>Least privilege: default deny, no policy that is simply true for the application role</t>
        </is>
      </c>
      <c r="K12" t="inlineStr">
        <is>
          <t>Set</t>
        </is>
      </c>
      <c r="L12" t="inlineStr">
        <is>
          <t>schema/10_security.sql from tools/rules_security.py; docs/security/ (roles, policy catalogue, threat model, PII handling, design note); tests/extra_security.sql</t>
        </is>
      </c>
      <c r="M12" t="inlineStr">
        <is>
          <t>Automated test</t>
        </is>
      </c>
      <c r="O12" t="inlineStr">
        <is>
          <t>Team decision</t>
        </is>
      </c>
      <c r="R12" t="inlineStr">
        <is>
          <t>Built and tested</t>
        </is>
      </c>
      <c r="S12" t="inlineStr">
        <is>
          <t>Built and tested (16 October 2026): four service roles, row-level security on 120 tables with 376 policies, 227 access tests as ordinary roles; the policy cost at full scale is measured in Phase 5</t>
        </is>
      </c>
    </row>
    <row r="13">
      <c r="A13" t="inlineStr">
        <is>
          <t>NFR-10</t>
        </is>
      </c>
      <c r="B13" t="inlineStr">
        <is>
          <t>FDS-01</t>
        </is>
      </c>
      <c r="C13" t="inlineStr">
        <is>
          <t>Security</t>
        </is>
      </c>
      <c r="D13" t="inlineStr">
        <is>
          <t>Secrets stay out of the repository; the database port is never public; remote access by SSH tunnel.</t>
        </is>
      </c>
      <c r="E13" t="inlineStr">
        <is>
          <t>Requirements workbook, Non-Functional Requirements, NFR-10</t>
        </is>
      </c>
      <c r="F13" t="inlineStr">
        <is>
          <t>Secrets kept out of the repository</t>
        </is>
      </c>
      <c r="J13" t="inlineStr">
        <is>
          <t>No .env, key or brief in git</t>
        </is>
      </c>
      <c r="K13" t="inlineStr">
        <is>
          <t>Set</t>
        </is>
      </c>
      <c r="L13" t="inlineStr">
        <is>
          <t>.gitignore, PR template checklist, README</t>
        </is>
      </c>
      <c r="M13" t="inlineStr">
        <is>
          <t>Review</t>
        </is>
      </c>
      <c r="O13" t="inlineStr">
        <is>
          <t>Team decision</t>
        </is>
      </c>
      <c r="R13" t="inlineStr">
        <is>
          <t>Built</t>
        </is>
      </c>
      <c r="S13" t="inlineStr">
        <is>
          <t>Built for the repository; hosting rules recorded</t>
        </is>
      </c>
    </row>
    <row r="14">
      <c r="A14" t="inlineStr">
        <is>
          <t>NFR-11</t>
        </is>
      </c>
      <c r="B14" t="inlineStr">
        <is>
          <t>FDS-01</t>
        </is>
      </c>
      <c r="C14" t="inlineStr">
        <is>
          <t>Privacy</t>
        </is>
      </c>
      <c r="D14" t="inlineStr">
        <is>
          <t>Every column has a sensitivity class (Public, Internal, Personal, Sensitive); identity numbers and card data are never stored.</t>
        </is>
      </c>
      <c r="E14" t="inlineStr">
        <is>
          <t>Requirements workbook, Non-Functional Requirements, NFR-11</t>
        </is>
      </c>
      <c r="F14" t="inlineStr">
        <is>
          <t>Columns without a sensitivity class</t>
        </is>
      </c>
      <c r="G14" t="inlineStr">
        <is>
          <t>columns</t>
        </is>
      </c>
      <c r="H14" t="inlineStr">
        <is>
          <t>At most</t>
        </is>
      </c>
      <c r="I14" t="n">
        <v>0</v>
      </c>
      <c r="J14" t="inlineStr">
        <is>
          <t>All columns classed</t>
        </is>
      </c>
      <c r="K14" t="inlineStr">
        <is>
          <t>Set</t>
        </is>
      </c>
      <c r="L14" t="inlineStr">
        <is>
          <t>docs/data-dictionary.csv, built by tools/build_data_dictionary.py</t>
        </is>
      </c>
      <c r="M14" t="inlineStr">
        <is>
          <t>Document check</t>
        </is>
      </c>
      <c r="O14" t="inlineStr">
        <is>
          <t>Team decision</t>
        </is>
      </c>
      <c r="R14" t="inlineStr">
        <is>
          <t>Built</t>
        </is>
      </c>
      <c r="S14" t="inlineStr">
        <is>
          <t>Built: every column classed</t>
        </is>
      </c>
    </row>
    <row r="15">
      <c r="A15" t="inlineStr">
        <is>
          <t>NFR-12</t>
        </is>
      </c>
      <c r="B15" t="inlineStr">
        <is>
          <t>FDS-01</t>
        </is>
      </c>
      <c r="C15" t="inlineStr">
        <is>
          <t>Privacy</t>
        </is>
      </c>
      <c r="D15" t="inlineStr">
        <is>
          <t>Personal data can be erased on request without breaking history, and event data has a retention period.</t>
        </is>
      </c>
      <c r="E15" t="inlineStr">
        <is>
          <t>Requirements workbook, Non-Functional Requirements, NFR-12</t>
        </is>
      </c>
      <c r="F15" t="inlineStr">
        <is>
          <t>Retention of event data</t>
        </is>
      </c>
      <c r="G15" t="inlineStr">
        <is>
          <t>months</t>
        </is>
      </c>
      <c r="H15" t="inlineStr">
        <is>
          <t>At most</t>
        </is>
      </c>
      <c r="I15" t="n">
        <v>12</v>
      </c>
      <c r="J15" t="inlineStr">
        <is>
          <t>Erasure function; 12 months for events</t>
        </is>
      </c>
      <c r="K15" t="inlineStr">
        <is>
          <t>Set</t>
        </is>
      </c>
      <c r="L15" t="inlineStr">
        <is>
          <t>erase_candidate() and tests; monthly partitions dropped by month; docs/security/pii-handling.md</t>
        </is>
      </c>
      <c r="M15" t="inlineStr">
        <is>
          <t>Automated test</t>
        </is>
      </c>
      <c r="O15" t="inlineStr">
        <is>
          <t>Team decision</t>
        </is>
      </c>
      <c r="R15" t="inlineStr">
        <is>
          <t>Built</t>
        </is>
      </c>
      <c r="S15" t="inlineStr">
        <is>
          <t>Built: erase_candidate() reached only through talentra_request_erasure() (the person or a user administrator); the inactivity rule and the retention scheduler are planned</t>
        </is>
      </c>
    </row>
    <row r="16">
      <c r="A16" t="inlineStr">
        <is>
          <t>NFR-13</t>
        </is>
      </c>
      <c r="B16" t="inlineStr">
        <is>
          <t>FDS-01</t>
        </is>
      </c>
      <c r="C16" t="inlineStr">
        <is>
          <t>Portability</t>
        </is>
      </c>
      <c r="D16" t="inlineStr">
        <is>
          <t>The same database runs on macOS, Windows and Linux from one codebase.</t>
        </is>
      </c>
      <c r="E16" t="inlineStr">
        <is>
          <t>Requirements workbook, Non-Functional Requirements, NFR-13</t>
        </is>
      </c>
      <c r="F16" t="inlineStr">
        <is>
          <t>Systems the database runs on</t>
        </is>
      </c>
      <c r="J16" t="inlineStr">
        <is>
          <t>One docker compose file</t>
        </is>
      </c>
      <c r="K16" t="inlineStr">
        <is>
          <t>Set</t>
        </is>
      </c>
      <c r="L16" t="inlineStr">
        <is>
          <t>docker-compose.yml, docs/setup.md</t>
        </is>
      </c>
      <c r="M16" t="inlineStr">
        <is>
          <t>Document check</t>
        </is>
      </c>
      <c r="O16" t="inlineStr">
        <is>
          <t>Team decision</t>
        </is>
      </c>
      <c r="R16" t="inlineStr">
        <is>
          <t>Built and tested</t>
        </is>
      </c>
      <c r="S16" t="inlineStr">
        <is>
          <t>Built and tested on Mac, run by teammates on Windows</t>
        </is>
      </c>
    </row>
    <row r="17">
      <c r="A17" t="inlineStr">
        <is>
          <t>NFR-14</t>
        </is>
      </c>
      <c r="B17" t="inlineStr">
        <is>
          <t>FDS-01</t>
        </is>
      </c>
      <c r="C17" t="inlineStr">
        <is>
          <t>Maintainability</t>
        </is>
      </c>
      <c r="D17" t="inlineStr">
        <is>
          <t>One diagram file is the source of the model; the SQL is generated and never edited by hand; rules that a diagram cannot show sit in one reviewed list.</t>
        </is>
      </c>
      <c r="E17" t="inlineStr">
        <is>
          <t>Requirements workbook, Non-Functional Requirements, NFR-14</t>
        </is>
      </c>
      <c r="F17" t="inlineStr">
        <is>
          <t>Sources of truth for the model</t>
        </is>
      </c>
      <c r="J17" t="inlineStr">
        <is>
          <t>One source of truth</t>
        </is>
      </c>
      <c r="K17" t="inlineStr">
        <is>
          <t>Set</t>
        </is>
      </c>
      <c r="L17" t="inlineStr">
        <is>
          <t>tools/build_schema.py, docs/dbml/talentra.dbml</t>
        </is>
      </c>
      <c r="M17" t="inlineStr">
        <is>
          <t>Document check</t>
        </is>
      </c>
      <c r="O17" t="inlineStr">
        <is>
          <t>Team decision</t>
        </is>
      </c>
      <c r="R17" t="inlineStr">
        <is>
          <t>Built</t>
        </is>
      </c>
      <c r="S17" t="inlineStr">
        <is>
          <t>Built</t>
        </is>
      </c>
    </row>
    <row r="18">
      <c r="A18" t="inlineStr">
        <is>
          <t>NFR-15</t>
        </is>
      </c>
      <c r="B18" t="inlineStr">
        <is>
          <t>FDS-01</t>
        </is>
      </c>
      <c r="C18" t="inlineStr">
        <is>
          <t>Maintainability</t>
        </is>
      </c>
      <c r="D18" t="inlineStr">
        <is>
          <t>Naming standards: snake_case, singular table names, id and table_id keys, no reserved words.</t>
        </is>
      </c>
      <c r="E18" t="inlineStr">
        <is>
          <t>Requirements workbook, Non-Functional Requirements, NFR-15</t>
        </is>
      </c>
      <c r="F18" t="inlineStr">
        <is>
          <t>Naming violations</t>
        </is>
      </c>
      <c r="G18" t="inlineStr">
        <is>
          <t>violations</t>
        </is>
      </c>
      <c r="H18" t="inlineStr">
        <is>
          <t>At most</t>
        </is>
      </c>
      <c r="I18" t="n">
        <v>0</v>
      </c>
      <c r="J18" t="inlineStr">
        <is>
          <t>0 violations</t>
        </is>
      </c>
      <c r="K18" t="inlineStr">
        <is>
          <t>Set</t>
        </is>
      </c>
      <c r="L18" t="inlineStr">
        <is>
          <t>docs/schema.md: no name clashes with reserved words</t>
        </is>
      </c>
      <c r="M18" t="inlineStr">
        <is>
          <t>Automated test</t>
        </is>
      </c>
      <c r="O18" t="inlineStr">
        <is>
          <t>Team decision</t>
        </is>
      </c>
      <c r="R18" t="inlineStr">
        <is>
          <t>Built</t>
        </is>
      </c>
      <c r="S18" t="inlineStr">
        <is>
          <t>Built and checked</t>
        </is>
      </c>
    </row>
    <row r="19">
      <c r="A19" t="inlineStr">
        <is>
          <t>NFR-16</t>
        </is>
      </c>
      <c r="B19" t="inlineStr">
        <is>
          <t>FDS-01</t>
        </is>
      </c>
      <c r="C19" t="inlineStr">
        <is>
          <t>Time and language</t>
        </is>
      </c>
      <c r="D19" t="inlineStr">
        <is>
          <t>All timestamps are stored in UTC; names can be in any script.</t>
        </is>
      </c>
      <c r="E19" t="inlineStr">
        <is>
          <t>Requirements workbook, Non-Functional Requirements, NFR-16</t>
        </is>
      </c>
      <c r="F19" t="inlineStr">
        <is>
          <t>Timestamps stored in UTC</t>
        </is>
      </c>
      <c r="J19" t="inlineStr">
        <is>
          <t>timestamptz in UTC; UTF-8</t>
        </is>
      </c>
      <c r="K19" t="inlineStr">
        <is>
          <t>Set</t>
        </is>
      </c>
      <c r="L19" t="inlineStr">
        <is>
          <t>Standards in docs/modules/*/columns.md</t>
        </is>
      </c>
      <c r="M19" t="inlineStr">
        <is>
          <t>Document check</t>
        </is>
      </c>
      <c r="O19" t="inlineStr">
        <is>
          <t>Team decision</t>
        </is>
      </c>
      <c r="R19" t="inlineStr">
        <is>
          <t>Built</t>
        </is>
      </c>
      <c r="S19" t="inlineStr">
        <is>
          <t>Built</t>
        </is>
      </c>
    </row>
    <row r="20">
      <c r="A20" t="inlineStr">
        <is>
          <t>NFR-17</t>
        </is>
      </c>
      <c r="B20" t="inlineStr">
        <is>
          <t>FDS-01</t>
        </is>
      </c>
      <c r="C20" t="inlineStr">
        <is>
          <t>Reproducibility</t>
        </is>
      </c>
      <c r="D20" t="inlineStr">
        <is>
          <t>Anyone can rebuild the empty database and load repeatable demo data in minutes.</t>
        </is>
      </c>
      <c r="E20" t="inlineStr">
        <is>
          <t>Requirements workbook, Non-Functional Requirements, NFR-17</t>
        </is>
      </c>
      <c r="F20" t="inlineStr">
        <is>
          <t>Rebuild time of the empty database</t>
        </is>
      </c>
      <c r="G20" t="inlineStr">
        <is>
          <t>seconds</t>
        </is>
      </c>
      <c r="H20" t="inlineStr">
        <is>
          <t>At most</t>
        </is>
      </c>
      <c r="I20" t="n">
        <v>120</v>
      </c>
      <c r="J20" t="inlineStr">
        <is>
          <t>Rebuild under 2 minutes for the empty database; 50,000 candidates with every module in about 5 minutes (measured 16 October 2026)</t>
        </is>
      </c>
      <c r="K20" t="inlineStr">
        <is>
          <t>Set</t>
        </is>
      </c>
      <c r="L20" t="inlineStr">
        <is>
          <t>schema/ runs on first start; seed/reference/ then seed/demo_sample.sql</t>
        </is>
      </c>
      <c r="M20" t="inlineStr">
        <is>
          <t>Automated test</t>
        </is>
      </c>
      <c r="O20" t="inlineStr">
        <is>
          <t>Team decision</t>
        </is>
      </c>
      <c r="R20" t="inlineStr">
        <is>
          <t>Built and tested</t>
        </is>
      </c>
      <c r="S20" t="inlineStr">
        <is>
          <t>Built and tested</t>
        </is>
      </c>
    </row>
    <row r="21">
      <c r="A21" t="inlineStr">
        <is>
          <t>NFR-18</t>
        </is>
      </c>
      <c r="B21" t="inlineStr">
        <is>
          <t>FDS-01</t>
        </is>
      </c>
      <c r="C21" t="inlineStr">
        <is>
          <t>Quality assurance</t>
        </is>
      </c>
      <c r="D21" t="inlineStr">
        <is>
          <t>A test suite tries to break every important rule and runs against a scratch database.</t>
        </is>
      </c>
      <c r="E21" t="inlineStr">
        <is>
          <t>Requirements workbook, Non-Functional Requirements, NFR-18</t>
        </is>
      </c>
      <c r="F21" t="inlineStr">
        <is>
          <t>Failing tests before a merge</t>
        </is>
      </c>
      <c r="G21" t="inlineStr">
        <is>
          <t>tests</t>
        </is>
      </c>
      <c r="H21" t="inlineStr">
        <is>
          <t>At most</t>
        </is>
      </c>
      <c r="I21" t="n">
        <v>0</v>
      </c>
      <c r="J21" t="inlineStr">
        <is>
          <t>All tests pass before every merge</t>
        </is>
      </c>
      <c r="K21" t="inlineStr">
        <is>
          <t>Set</t>
        </is>
      </c>
      <c r="L21" t="inlineStr">
        <is>
          <t>tests/constraint_tests.sql</t>
        </is>
      </c>
      <c r="M21" t="inlineStr">
        <is>
          <t>Automated test</t>
        </is>
      </c>
      <c r="O21" t="inlineStr">
        <is>
          <t>Team decision</t>
        </is>
      </c>
      <c r="R21" t="inlineStr">
        <is>
          <t>Built</t>
        </is>
      </c>
      <c r="S21" t="inlineStr">
        <is>
          <t>Built: 2066 of 2066 pass</t>
        </is>
      </c>
    </row>
    <row r="22">
      <c r="A22" t="inlineStr">
        <is>
          <t>NFR-19</t>
        </is>
      </c>
      <c r="B22" t="inlineStr">
        <is>
          <t>FDS-01</t>
        </is>
      </c>
      <c r="C22" t="inlineStr">
        <is>
          <t>Availability and recovery</t>
        </is>
      </c>
      <c r="D22" t="inlineStr">
        <is>
          <t>Backups, restore tests and a recovery target.</t>
        </is>
      </c>
      <c r="E22" t="inlineStr">
        <is>
          <t>Requirements workbook, Non-Functional Requirements, NFR-19</t>
        </is>
      </c>
      <c r="F22" t="inlineStr">
        <is>
          <t>Recovery target</t>
        </is>
      </c>
      <c r="J22" t="inlineStr">
        <is>
          <t>To be set</t>
        </is>
      </c>
      <c r="K22" t="inlineStr">
        <is>
          <t>To be set</t>
        </is>
      </c>
      <c r="L22" t="inlineStr">
        <is>
          <t>Not built yet</t>
        </is>
      </c>
      <c r="M22" t="inlineStr">
        <is>
          <t>Not yet defined</t>
        </is>
      </c>
      <c r="O22" t="inlineStr">
        <is>
          <t>Not yet derived</t>
        </is>
      </c>
      <c r="R22" t="inlineStr">
        <is>
          <t>Planned</t>
        </is>
      </c>
      <c r="S22" t="inlineStr">
        <is>
          <t>Planned (Phase 5)</t>
        </is>
      </c>
    </row>
    <row r="23">
      <c r="A23" t="inlineStr">
        <is>
          <t>NFR-20</t>
        </is>
      </c>
      <c r="B23" t="inlineStr">
        <is>
          <t>FDS-01</t>
        </is>
      </c>
      <c r="C23" t="inlineStr">
        <is>
          <t>Review process</t>
        </is>
      </c>
      <c r="D23" t="inlineStr">
        <is>
          <t>No design is approved by its author; every change goes through a pull request with an owner.</t>
        </is>
      </c>
      <c r="E23" t="inlineStr">
        <is>
          <t>Requirements workbook, Non-Functional Requirements, NFR-20</t>
        </is>
      </c>
      <c r="F23" t="inlineStr">
        <is>
          <t>Pieces approved by their own author</t>
        </is>
      </c>
      <c r="J23" t="inlineStr">
        <is>
          <t>Every piece reviewed by someone other than its author</t>
        </is>
      </c>
      <c r="K23" t="inlineStr">
        <is>
          <t>Set</t>
        </is>
      </c>
      <c r="L23" t="inlineStr">
        <is>
          <t>GitHub board, CODEOWNERS, pull request template, docs/decisions.md</t>
        </is>
      </c>
      <c r="M23" t="inlineStr">
        <is>
          <t>Review</t>
        </is>
      </c>
      <c r="O23" t="inlineStr">
        <is>
          <t>Team decision</t>
        </is>
      </c>
      <c r="R23" t="inlineStr">
        <is>
          <t>Partly met</t>
        </is>
      </c>
      <c r="S23" t="inlineStr">
        <is>
          <t>Partly met: Phase 1 pieces were validated by teammates; the 16 October work was closed by the lead after an independent review</t>
        </is>
      </c>
    </row>
    <row r="24">
      <c r="A24" t="inlineStr">
        <is>
          <t>NFR-21</t>
        </is>
      </c>
      <c r="B24" t="inlineStr">
        <is>
          <t>FDS-01</t>
        </is>
      </c>
      <c r="C24" t="inlineStr">
        <is>
          <t>Compliance</t>
        </is>
      </c>
      <c r="D24" t="inlineStr">
        <is>
          <t>Personal data is handled as the DPDP Act 2023 requires: consent is recorded, a person can have their data erased on request, and the time allowed to act is fixed.</t>
        </is>
      </c>
      <c r="E24" t="inlineStr">
        <is>
          <t>Requirements workbook, Non-Functional Requirements, NFR-21</t>
        </is>
      </c>
      <c r="F24" t="inlineStr">
        <is>
          <t>Data requests handled within the legal period</t>
        </is>
      </c>
      <c r="J24" t="inlineStr">
        <is>
          <t>To be set with legal review</t>
        </is>
      </c>
      <c r="K24" t="inlineStr">
        <is>
          <t>To be set</t>
        </is>
      </c>
      <c r="L24" t="inlineStr">
        <is>
          <t>Not defined yet. NFR-12 already covers erasure; consent and the legal time limit need their own tests.</t>
        </is>
      </c>
      <c r="M24" t="inlineStr">
        <is>
          <t>Not yet defined</t>
        </is>
      </c>
      <c r="O24" t="inlineStr">
        <is>
          <t>Regulation</t>
        </is>
      </c>
      <c r="Q24" t="inlineStr">
        <is>
          <t>DPDP Act 2023</t>
        </is>
      </c>
      <c r="R24" t="inlineStr">
        <is>
          <t>Proposed</t>
        </is>
      </c>
      <c r="S24" t="inlineStr">
        <is>
          <t>Proposed: not yet in the requirements workbook; needs team approval</t>
        </is>
      </c>
    </row>
    <row r="25">
      <c r="A25" t="inlineStr">
        <is>
          <t>NFR-22</t>
        </is>
      </c>
      <c r="B25" t="inlineStr">
        <is>
          <t>FDS-01</t>
        </is>
      </c>
      <c r="C25" t="inlineStr">
        <is>
          <t>Accessibility</t>
        </is>
      </c>
      <c r="D25" t="inlineStr">
        <is>
          <t>Any user interface meets a stated accessibility standard so people with disabilities can use it.</t>
        </is>
      </c>
      <c r="E25" t="inlineStr">
        <is>
          <t>Requirements workbook, Non-Functional Requirements, NFR-22</t>
        </is>
      </c>
      <c r="F25" t="inlineStr">
        <is>
          <t>Accessibility standard met</t>
        </is>
      </c>
      <c r="J25" t="inlineStr">
        <is>
          <t>To be set; the team decides whether a user interface is in scope</t>
        </is>
      </c>
      <c r="K25" t="inlineStr">
        <is>
          <t>To be set</t>
        </is>
      </c>
      <c r="L25" t="inlineStr">
        <is>
          <t>Not defined yet. The database has no user interface today.</t>
        </is>
      </c>
      <c r="M25" t="inlineStr">
        <is>
          <t>Not yet defined</t>
        </is>
      </c>
      <c r="O25" t="inlineStr">
        <is>
          <t>Not yet derived</t>
        </is>
      </c>
      <c r="R25" t="inlineStr">
        <is>
          <t>Proposed</t>
        </is>
      </c>
      <c r="S25" t="inlineStr">
        <is>
          <t>Proposed: not yet in the requirements workbook; needs team approval</t>
        </is>
      </c>
    </row>
    <row r="26">
      <c r="A26" t="inlineStr">
        <is>
          <t>NFR-23</t>
        </is>
      </c>
      <c r="B26" t="inlineStr">
        <is>
          <t>FDS-01</t>
        </is>
      </c>
      <c r="C26" t="inlineStr">
        <is>
          <t>Scale</t>
        </is>
      </c>
      <c r="D26" t="inlineStr">
        <is>
          <t>Loading 1 million candidates with all their related rows finishes within a stated time and can resume after a failure.</t>
        </is>
      </c>
      <c r="E26" t="inlineStr">
        <is>
          <t>Requirements workbook, Non-Functional Requirements, NFR-23</t>
        </is>
      </c>
      <c r="F26" t="inlineStr">
        <is>
          <t>Time to load 1 million candidates</t>
        </is>
      </c>
      <c r="G26" t="inlineStr">
        <is>
          <t>hours</t>
        </is>
      </c>
      <c r="H26" t="inlineStr">
        <is>
          <t>At most</t>
        </is>
      </c>
      <c r="I26" t="n">
        <v>3</v>
      </c>
      <c r="J26" t="inlineStr">
        <is>
          <t>At most 3 hours for 1M candidates</t>
        </is>
      </c>
      <c r="K26" t="inlineStr">
        <is>
          <t>Set</t>
        </is>
      </c>
      <c r="L26" t="inlineStr">
        <is>
          <t>Load test on the server. 200,000 candidates loaded in 22 minutes on 16 October; the 1M figure is an estimate until that run is done.</t>
        </is>
      </c>
      <c r="M26" t="inlineStr">
        <is>
          <t>Load test</t>
        </is>
      </c>
      <c r="O26" t="inlineStr">
        <is>
          <t>Volumes</t>
        </is>
      </c>
      <c r="P26" t="inlineStr">
        <is>
          <t>1M candidates; 200,000 loaded in 22 minutes</t>
        </is>
      </c>
      <c r="R26" t="inlineStr">
        <is>
          <t>Proposed</t>
        </is>
      </c>
      <c r="S26" t="inlineStr">
        <is>
          <t>Proposed: not yet in the requirements workbook; needs team approval</t>
        </is>
      </c>
    </row>
    <row r="27">
      <c r="A27" t="inlineStr">
        <is>
          <t>NFR-24</t>
        </is>
      </c>
      <c r="B27" t="inlineStr">
        <is>
          <t>FDS-01</t>
        </is>
      </c>
      <c r="C27" t="inlineStr">
        <is>
          <t>Data quality</t>
        </is>
      </c>
      <c r="D27" t="inlineStr">
        <is>
          <t>A row with a missing or invalid required value is never loaded; it is rejected with a reason.</t>
        </is>
      </c>
      <c r="E27" t="inlineStr">
        <is>
          <t>Requirements workbook, Non-Functional Requirements, NFR-24</t>
        </is>
      </c>
      <c r="F27" t="inlineStr">
        <is>
          <t>Incomplete rows loaded</t>
        </is>
      </c>
      <c r="G27" t="inlineStr">
        <is>
          <t>rows</t>
        </is>
      </c>
      <c r="H27" t="inlineStr">
        <is>
          <t>At most</t>
        </is>
      </c>
      <c r="I27" t="n">
        <v>0</v>
      </c>
      <c r="J27" t="inlineStr">
        <is>
          <t>0 incomplete rows loaded</t>
        </is>
      </c>
      <c r="K27" t="inlineStr">
        <is>
          <t>Set</t>
        </is>
      </c>
      <c r="L27" t="inlineStr">
        <is>
          <t>Ingestion pipeline: rejected rows go to ingest.reject with a reason; validation checks run after each load.</t>
        </is>
      </c>
      <c r="M27" t="inlineStr">
        <is>
          <t>Automated test</t>
        </is>
      </c>
      <c r="O27" t="inlineStr">
        <is>
          <t>Team decision</t>
        </is>
      </c>
      <c r="R27" t="inlineStr">
        <is>
          <t>Proposed</t>
        </is>
      </c>
      <c r="S27" t="inlineStr">
        <is>
          <t>Proposed: not yet in the requirements workbook; needs team approval</t>
        </is>
      </c>
    </row>
    <row r="28">
      <c r="A28" t="inlineStr">
        <is>
          <t>NFR-25</t>
        </is>
      </c>
      <c r="B28" t="inlineStr">
        <is>
          <t>FDS-01</t>
        </is>
      </c>
      <c r="C28" t="inlineStr">
        <is>
          <t>Concurrency</t>
        </is>
      </c>
      <c r="D28" t="inlineStr">
        <is>
          <t>When many users act at the same time, limits such as seats, licences and queue claims still hold and nothing is double-booked.</t>
        </is>
      </c>
      <c r="E28" t="inlineStr">
        <is>
          <t>Requirements workbook, Non-Functional Requirements, NFR-25</t>
        </is>
      </c>
      <c r="F28" t="inlineStr">
        <is>
          <t>Failed concurrency tests</t>
        </is>
      </c>
      <c r="G28" t="inlineStr">
        <is>
          <t>tests</t>
        </is>
      </c>
      <c r="H28" t="inlineStr">
        <is>
          <t>At most</t>
        </is>
      </c>
      <c r="I28" t="n">
        <v>0</v>
      </c>
      <c r="J28" t="inlineStr">
        <is>
          <t>0 failed concurrency tests</t>
        </is>
      </c>
      <c r="K28" t="inlineStr">
        <is>
          <t>Set</t>
        </is>
      </c>
      <c r="L28" t="inlineStr">
        <is>
          <t>The concurrency scripts for sourcing, notifications and security pass.</t>
        </is>
      </c>
      <c r="M28" t="inlineStr">
        <is>
          <t>Automated test</t>
        </is>
      </c>
      <c r="O28" t="inlineStr">
        <is>
          <t>Team decision</t>
        </is>
      </c>
      <c r="R28" t="inlineStr">
        <is>
          <t>Proposed</t>
        </is>
      </c>
      <c r="S28" t="inlineStr">
        <is>
          <t>Proposed: not yet in the requirements workbook; needs team approval</t>
        </is>
      </c>
    </row>
    <row r="29">
      <c r="A29" t="inlineStr">
        <is>
          <t>NFR-26</t>
        </is>
      </c>
      <c r="B29" t="inlineStr">
        <is>
          <t>FDS-01</t>
        </is>
      </c>
      <c r="C29" t="inlineStr">
        <is>
          <t>Cost</t>
        </is>
      </c>
      <c r="D29" t="inlineStr">
        <is>
          <t>The hosting spend for the project stays inside the budget.</t>
        </is>
      </c>
      <c r="E29" t="inlineStr">
        <is>
          <t>Requirements workbook, Non-Functional Requirements, NFR-26</t>
        </is>
      </c>
      <c r="F29" t="inlineStr">
        <is>
          <t>AWS credit spent</t>
        </is>
      </c>
      <c r="G29" t="inlineStr">
        <is>
          <t>USD</t>
        </is>
      </c>
      <c r="H29" t="inlineStr">
        <is>
          <t>At most</t>
        </is>
      </c>
      <c r="I29" t="n">
        <v>130</v>
      </c>
      <c r="J29" t="inlineStr">
        <is>
          <t>At most 130 USD of AWS credit</t>
        </is>
      </c>
      <c r="K29" t="inlineStr">
        <is>
          <t>Set</t>
        </is>
      </c>
      <c r="L29" t="inlineStr">
        <is>
          <t>Not measured yet: check the AWS billing page and stop the server when it is not in use.</t>
        </is>
      </c>
      <c r="M29" t="inlineStr">
        <is>
          <t>Document check</t>
        </is>
      </c>
      <c r="O29" t="inlineStr">
        <is>
          <t>Team decision</t>
        </is>
      </c>
      <c r="R29" t="inlineStr">
        <is>
          <t>Proposed</t>
        </is>
      </c>
      <c r="S29" t="inlineStr">
        <is>
          <t>Proposed: not yet in the requirements workbook; needs team approval</t>
        </is>
      </c>
    </row>
  </sheetData>
  <autoFilter ref="A3:S29"/>
  <conditionalFormatting sqref="I4:I29">
    <cfRule type="expression" priority="1" dxfId="2">
      <formula>AND($A4&lt;&gt;"",$R4&lt;&gt;"Proposed",$I4="")</formula>
    </cfRule>
  </conditionalFormatting>
  <conditionalFormatting sqref="M4:M29">
    <cfRule type="expression" priority="2" dxfId="3">
      <formula>$M4="Not yet defined"</formula>
    </cfRule>
  </conditionalFormatting>
  <conditionalFormatting sqref="A4:S29">
    <cfRule type="expression" priority="3" dxfId="4">
      <formula>$R4="Proposed"</formula>
    </cfRule>
  </conditionalFormatting>
  <dataValidations count="6">
    <dataValidation sqref="C4:C69" showDropDown="0" showInputMessage="0" showErrorMessage="1" allowBlank="1" errorTitle="Not in the schema list" error="Pick a value from the NfrCategory list on the Allowed values sheet." type="list">
      <formula1>='Allowed values'!$B$138:$B$155</formula1>
    </dataValidation>
    <dataValidation sqref="H4:H69" showDropDown="0" showInputMessage="0" showErrorMessage="1" allowBlank="1" errorTitle="Not in the schema list" error="Pick a value from the Comparator list on the Allowed values sheet." type="list">
      <formula1>='Allowed values'!$B$156:$B$158</formula1>
    </dataValidation>
    <dataValidation sqref="K4:K69" showDropDown="0" showInputMessage="0" showErrorMessage="1" allowBlank="1" errorTitle="Not in the schema list" error="Pick a value from the TargetStatus list on the Allowed values sheet." type="list">
      <formula1>='Allowed values'!$B$159:$B$160</formula1>
    </dataValidation>
    <dataValidation sqref="M4:M69" showDropDown="0" showInputMessage="0" showErrorMessage="1" allowBlank="1" errorTitle="Not in the schema list" error="Pick a value from the MeasuredBy list on the Allowed values sheet." type="list">
      <formula1>='Allowed values'!$B$161:$B$166</formula1>
    </dataValidation>
    <dataValidation sqref="O4:O69" showDropDown="0" showInputMessage="0" showErrorMessage="1" allowBlank="1" errorTitle="Not in the schema list" error="Pick a value from the DerivedFrom list on the Allowed values sheet." type="list">
      <formula1>='Allowed values'!$B$167:$B$171</formula1>
    </dataValidation>
    <dataValidation sqref="R4:R69" showDropDown="0" showInputMessage="0" showErrorMessage="1" allowBlank="1" errorTitle="Not in the schema list" error="Pick a value from the NfrStatus list on the Allowed values sheet." type="list">
      <formula1>='Allowed values'!$B$172:$B$177</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s>
  <sheetData>
    <row r="1">
      <c r="A1" s="42" t="inlineStr">
        <is>
          <t>Output document (draft, deliverable c, Step 01): the 108 functional requirements from Talentra-Requirements.xlsx in the column order of the requirement table. Source is Not recorded because the workbook does not say which sentence of the brief each requirement came from. Actor and priority are worked out from the features that implement the requirement (the most common persona; the strongest class) and need a person to confirm.</t>
        </is>
      </c>
    </row>
    <row r="3">
      <c r="A3" s="24" t="inlineStr">
        <is>
          <t>requirement_id</t>
        </is>
      </c>
      <c r="B3" s="24" t="inlineStr">
        <is>
          <t>study_id</t>
        </is>
      </c>
      <c r="C3" s="24" t="inlineStr">
        <is>
          <t>module</t>
        </is>
      </c>
      <c r="D3" s="24" t="inlineStr">
        <is>
          <t>requirement_statement</t>
        </is>
      </c>
      <c r="E3" s="24" t="inlineStr">
        <is>
          <t>source_type</t>
        </is>
      </c>
      <c r="F3" s="24" t="inlineStr">
        <is>
          <t>source_reference</t>
        </is>
      </c>
      <c r="G3" s="24" t="inlineStr">
        <is>
          <t>actor</t>
        </is>
      </c>
      <c r="H3" s="24" t="inlineStr">
        <is>
          <t>priority</t>
        </is>
      </c>
      <c r="I3" s="24" t="inlineStr">
        <is>
          <t>priority_basis</t>
        </is>
      </c>
      <c r="J3" s="24" t="inlineStr">
        <is>
          <t>ambiguity_note</t>
        </is>
      </c>
      <c r="K3" s="24" t="inlineStr">
        <is>
          <t>our_status</t>
        </is>
      </c>
      <c r="L3" s="24" t="inlineStr">
        <is>
          <t>status_detail</t>
        </is>
      </c>
      <c r="M3" s="24" t="inlineStr">
        <is>
          <t>evidence_reference</t>
        </is>
      </c>
      <c r="N3" s="24" t="inlineStr">
        <is>
          <t>tables_used</t>
        </is>
      </c>
    </row>
    <row r="4">
      <c r="A4" t="inlineStr">
        <is>
          <t>FR-P01</t>
        </is>
      </c>
      <c r="B4" t="inlineStr">
        <is>
          <t>FDS-01</t>
        </is>
      </c>
      <c r="C4" t="inlineStr">
        <is>
          <t>Profile</t>
        </is>
      </c>
      <c r="D4" t="inlineStr">
        <is>
          <t>Each user account has at most one candidate profile, with a legal name, an optional Latin spelling, and work status.</t>
        </is>
      </c>
      <c r="E4" t="inlineStr">
        <is>
          <t>Not recorded</t>
        </is>
      </c>
      <c r="G4" t="inlineStr">
        <is>
          <t>Candidate</t>
        </is>
      </c>
      <c r="H4" t="inlineStr">
        <is>
          <t>MUST-HAVE</t>
        </is>
      </c>
      <c r="I4" t="inlineStr">
        <is>
          <t>Derived from features</t>
        </is>
      </c>
      <c r="K4" t="inlineStr">
        <is>
          <t>Built and tested</t>
        </is>
      </c>
      <c r="L4" t="inlineStr">
        <is>
          <t>Built and tested</t>
        </is>
      </c>
      <c r="M4" t="inlineStr">
        <is>
          <t>Unique rule on user account; name and Latin-name checks; Profile tests</t>
        </is>
      </c>
      <c r="N4" t="inlineStr">
        <is>
          <t>candidate_profile</t>
        </is>
      </c>
    </row>
    <row r="5">
      <c r="A5" t="inlineStr">
        <is>
          <t>FR-P02</t>
        </is>
      </c>
      <c r="B5" t="inlineStr">
        <is>
          <t>FDS-01</t>
        </is>
      </c>
      <c r="C5" t="inlineStr">
        <is>
          <t>Profile</t>
        </is>
      </c>
      <c r="D5" t="inlineStr">
        <is>
          <t>A candidate can hold several emails and phone numbers, one primary per type, no duplicates per candidate, valid shapes only.</t>
        </is>
      </c>
      <c r="E5" t="inlineStr">
        <is>
          <t>Not recorded</t>
        </is>
      </c>
      <c r="G5" t="inlineStr">
        <is>
          <t>Candidate</t>
        </is>
      </c>
      <c r="H5" t="inlineStr">
        <is>
          <t>MUST-HAVE</t>
        </is>
      </c>
      <c r="I5" t="inlineStr">
        <is>
          <t>Derived from features</t>
        </is>
      </c>
      <c r="K5" t="inlineStr">
        <is>
          <t>Built and tested</t>
        </is>
      </c>
      <c r="L5" t="inlineStr">
        <is>
          <t>Built and tested</t>
        </is>
      </c>
      <c r="M5" t="inlineStr">
        <is>
          <t>Partial unique rules, email and phone checks; Profile review tests</t>
        </is>
      </c>
      <c r="N5" t="inlineStr">
        <is>
          <t>candidate_contact</t>
        </is>
      </c>
    </row>
    <row r="6">
      <c r="A6" t="inlineStr">
        <is>
          <t>FR-P03</t>
        </is>
      </c>
      <c r="B6" t="inlineStr">
        <is>
          <t>FDS-01</t>
        </is>
      </c>
      <c r="C6" t="inlineStr">
        <is>
          <t>Profile</t>
        </is>
      </c>
      <c r="D6" t="inlineStr">
        <is>
          <t>A candidate records addresses, education, work experience, skills with proficiency, languages with read, write and speak levels, projects, certifications and accomplishments.</t>
        </is>
      </c>
      <c r="E6" t="inlineStr">
        <is>
          <t>Not recorded</t>
        </is>
      </c>
      <c r="G6" t="inlineStr">
        <is>
          <t>Candidate</t>
        </is>
      </c>
      <c r="H6" t="inlineStr">
        <is>
          <t>MUST-HAVE</t>
        </is>
      </c>
      <c r="I6" t="inlineStr">
        <is>
          <t>Derived from features</t>
        </is>
      </c>
      <c r="K6" t="inlineStr">
        <is>
          <t>Built and tested</t>
        </is>
      </c>
      <c r="L6" t="inlineStr">
        <is>
          <t>Built and tested</t>
        </is>
      </c>
      <c r="M6" t="inlineStr">
        <is>
          <t>Tables, keys and checks; demo data of 50,000 candidates</t>
        </is>
      </c>
      <c r="N6" t="inlineStr">
        <is>
          <t>candidate_address, candidate_education, candidate_work_experience, candidate_skill, candidate_language, candidate_project, candidate_certification, candidate_accomplishment</t>
        </is>
      </c>
    </row>
    <row r="7">
      <c r="A7" t="inlineStr">
        <is>
          <t>FR-P04</t>
        </is>
      </c>
      <c r="B7" t="inlineStr">
        <is>
          <t>FDS-01</t>
        </is>
      </c>
      <c r="C7" t="inlineStr">
        <is>
          <t>Profile</t>
        </is>
      </c>
      <c r="D7" t="inlineStr">
        <is>
          <t>A candidate keeps several resumes, one default, built from templates; every change is a new append-only version.</t>
        </is>
      </c>
      <c r="E7" t="inlineStr">
        <is>
          <t>Not recorded</t>
        </is>
      </c>
      <c r="G7" t="inlineStr">
        <is>
          <t>Candidate</t>
        </is>
      </c>
      <c r="H7" t="inlineStr">
        <is>
          <t>MUST-HAVE</t>
        </is>
      </c>
      <c r="I7" t="inlineStr">
        <is>
          <t>Derived from features</t>
        </is>
      </c>
      <c r="K7" t="inlineStr">
        <is>
          <t>Built and tested</t>
        </is>
      </c>
      <c r="L7" t="inlineStr">
        <is>
          <t>Built and tested</t>
        </is>
      </c>
      <c r="M7" t="inlineStr">
        <is>
          <t>One-default rule; append-only guard on resume_version</t>
        </is>
      </c>
      <c r="N7" t="inlineStr">
        <is>
          <t>resume, resume_version, resume_template</t>
        </is>
      </c>
    </row>
    <row r="8">
      <c r="A8" t="inlineStr">
        <is>
          <t>FR-P05</t>
        </is>
      </c>
      <c r="B8" t="inlineStr">
        <is>
          <t>FDS-01</t>
        </is>
      </c>
      <c r="C8" t="inlineStr">
        <is>
          <t>Profile</t>
        </is>
      </c>
      <c r="D8" t="inlineStr">
        <is>
          <t>A candidate states job preferences: employment type, work mode, cities and roles.</t>
        </is>
      </c>
      <c r="E8" t="inlineStr">
        <is>
          <t>Not recorded</t>
        </is>
      </c>
      <c r="G8" t="inlineStr">
        <is>
          <t>Candidate</t>
        </is>
      </c>
      <c r="H8" t="inlineStr">
        <is>
          <t>MUST-HAVE</t>
        </is>
      </c>
      <c r="I8" t="inlineStr">
        <is>
          <t>Derived from features</t>
        </is>
      </c>
      <c r="K8" t="inlineStr">
        <is>
          <t>Built and tested</t>
        </is>
      </c>
      <c r="L8" t="inlineStr">
        <is>
          <t>Built and tested</t>
        </is>
      </c>
      <c r="M8" t="inlineStr">
        <is>
          <t>One preference row per candidate rule</t>
        </is>
      </c>
      <c r="N8" t="inlineStr">
        <is>
          <t>candidate_job_preference, candidate_job_preference_city, candidate_job_preference_role</t>
        </is>
      </c>
    </row>
    <row r="9">
      <c r="A9" t="inlineStr">
        <is>
          <t>FR-P06</t>
        </is>
      </c>
      <c r="B9" t="inlineStr">
        <is>
          <t>FDS-01</t>
        </is>
      </c>
      <c r="C9" t="inlineStr">
        <is>
          <t>Profile</t>
        </is>
      </c>
      <c r="D9" t="inlineStr">
        <is>
          <t>The system keeps a profile completion score and its history with the rule version used.</t>
        </is>
      </c>
      <c r="E9" t="inlineStr">
        <is>
          <t>Not recorded</t>
        </is>
      </c>
      <c r="G9" t="inlineStr">
        <is>
          <t>Candidate</t>
        </is>
      </c>
      <c r="H9" t="inlineStr">
        <is>
          <t>MUST-HAVE</t>
        </is>
      </c>
      <c r="I9" t="inlineStr">
        <is>
          <t>Derived from features</t>
        </is>
      </c>
      <c r="K9" t="inlineStr">
        <is>
          <t>Built</t>
        </is>
      </c>
      <c r="L9" t="inlineStr">
        <is>
          <t>Built</t>
        </is>
      </c>
      <c r="M9" t="inlineStr">
        <is>
          <t>Append-only history table</t>
        </is>
      </c>
      <c r="N9" t="inlineStr">
        <is>
          <t>profile_completion_score_history</t>
        </is>
      </c>
    </row>
    <row r="10">
      <c r="A10" t="inlineStr">
        <is>
          <t>FR-P07</t>
        </is>
      </c>
      <c r="B10" t="inlineStr">
        <is>
          <t>FDS-01</t>
        </is>
      </c>
      <c r="C10" t="inlineStr">
        <is>
          <t>Profile</t>
        </is>
      </c>
      <c r="D10" t="inlineStr">
        <is>
          <t>Identity verification outcome is stored (status, document type, provider reference), never the identity number or documents.</t>
        </is>
      </c>
      <c r="E10" t="inlineStr">
        <is>
          <t>Not recorded</t>
        </is>
      </c>
      <c r="G10" t="inlineStr">
        <is>
          <t>Candidate</t>
        </is>
      </c>
      <c r="H10" t="inlineStr">
        <is>
          <t>SHOULD-HAVE</t>
        </is>
      </c>
      <c r="I10" t="inlineStr">
        <is>
          <t>Derived from features</t>
        </is>
      </c>
      <c r="K10" t="inlineStr">
        <is>
          <t>Built and tested</t>
        </is>
      </c>
      <c r="L10" t="inlineStr">
        <is>
          <t>Built and tested</t>
        </is>
      </c>
      <c r="M10" t="inlineStr">
        <is>
          <t>Unique provider reference; delete rule RESTRICT</t>
        </is>
      </c>
      <c r="N10" t="inlineStr">
        <is>
          <t>candidate_identity_verification</t>
        </is>
      </c>
    </row>
    <row r="11">
      <c r="A11" t="inlineStr">
        <is>
          <t>FR-P08</t>
        </is>
      </c>
      <c r="B11" t="inlineStr">
        <is>
          <t>FDS-01</t>
        </is>
      </c>
      <c r="C11" t="inlineStr">
        <is>
          <t>Profile</t>
        </is>
      </c>
      <c r="D11" t="inlineStr">
        <is>
          <t>Who viewed a candidate profile, and when, is recorded for the candidate and for credit charging.</t>
        </is>
      </c>
      <c r="E11" t="inlineStr">
        <is>
          <t>Not recorded</t>
        </is>
      </c>
      <c r="G11" t="inlineStr">
        <is>
          <t>Recruiter</t>
        </is>
      </c>
      <c r="H11" t="inlineStr">
        <is>
          <t>MUST-HAVE</t>
        </is>
      </c>
      <c r="I11" t="inlineStr">
        <is>
          <t>Derived from features</t>
        </is>
      </c>
      <c r="K11" t="inlineStr">
        <is>
          <t>Built and tested</t>
        </is>
      </c>
      <c r="L11" t="inlineStr">
        <is>
          <t>Built and tested</t>
        </is>
      </c>
      <c r="M11" t="inlineStr">
        <is>
          <t>Monthly partitions; exclusion rule on overlapping access grants</t>
        </is>
      </c>
      <c r="N11" t="inlineStr">
        <is>
          <t>profile_view_event, profile_access_grant</t>
        </is>
      </c>
    </row>
    <row r="12">
      <c r="A12" t="inlineStr">
        <is>
          <t>FR-P09</t>
        </is>
      </c>
      <c r="B12" t="inlineStr">
        <is>
          <t>FDS-01</t>
        </is>
      </c>
      <c r="C12" t="inlineStr">
        <is>
          <t>Profile</t>
        </is>
      </c>
      <c r="D12" t="inlineStr">
        <is>
          <t>Employers and recruiters can bookmark candidates, and removals are kept as history.</t>
        </is>
      </c>
      <c r="E12" t="inlineStr">
        <is>
          <t>Not recorded</t>
        </is>
      </c>
      <c r="G12" t="inlineStr">
        <is>
          <t>Recruiter</t>
        </is>
      </c>
      <c r="H12" t="inlineStr">
        <is>
          <t>MUST-HAVE</t>
        </is>
      </c>
      <c r="I12" t="inlineStr">
        <is>
          <t>Derived from features</t>
        </is>
      </c>
      <c r="K12" t="inlineStr">
        <is>
          <t>Built</t>
        </is>
      </c>
      <c r="L12" t="inlineStr">
        <is>
          <t>Built</t>
        </is>
      </c>
      <c r="M12" t="inlineStr">
        <is>
          <t>Tables and keys</t>
        </is>
      </c>
      <c r="N12" t="inlineStr">
        <is>
          <t>candidate_bookmark, candidate_bookmark_history</t>
        </is>
      </c>
    </row>
    <row r="13">
      <c r="A13" t="inlineStr">
        <is>
          <t>FR-P10</t>
        </is>
      </c>
      <c r="B13" t="inlineStr">
        <is>
          <t>FDS-01</t>
        </is>
      </c>
      <c r="C13" t="inlineStr">
        <is>
          <t>Profile</t>
        </is>
      </c>
      <c r="D13" t="inlineStr">
        <is>
          <t>Each candidate has one referral code and can be referred by another candidate's code, never their own.</t>
        </is>
      </c>
      <c r="E13" t="inlineStr">
        <is>
          <t>Not recorded</t>
        </is>
      </c>
      <c r="G13" t="inlineStr">
        <is>
          <t>Candidate</t>
        </is>
      </c>
      <c r="H13" t="inlineStr">
        <is>
          <t>SHOULD-HAVE</t>
        </is>
      </c>
      <c r="I13" t="inlineStr">
        <is>
          <t>Derived from features</t>
        </is>
      </c>
      <c r="K13" t="inlineStr">
        <is>
          <t>Built and tested</t>
        </is>
      </c>
      <c r="L13" t="inlineStr">
        <is>
          <t>Built and tested</t>
        </is>
      </c>
      <c r="M13" t="inlineStr">
        <is>
          <t>Self-referral trigger test</t>
        </is>
      </c>
      <c r="N13" t="inlineStr">
        <is>
          <t>referral_code</t>
        </is>
      </c>
    </row>
    <row r="14">
      <c r="A14" t="inlineStr">
        <is>
          <t>FR-P11</t>
        </is>
      </c>
      <c r="B14" t="inlineStr">
        <is>
          <t>FDS-01</t>
        </is>
      </c>
      <c r="C14" t="inlineStr">
        <is>
          <t>Profile</t>
        </is>
      </c>
      <c r="D14" t="inlineStr">
        <is>
          <t>Personal data can be erased by scrubbing the personal fields while the row and its history stay valid.</t>
        </is>
      </c>
      <c r="E14" t="inlineStr">
        <is>
          <t>Not recorded</t>
        </is>
      </c>
      <c r="G14" t="inlineStr">
        <is>
          <t>Compliance and privacy officer</t>
        </is>
      </c>
      <c r="H14" t="inlineStr">
        <is>
          <t>MUST-HAVE</t>
        </is>
      </c>
      <c r="I14" t="inlineStr">
        <is>
          <t>Derived from features</t>
        </is>
      </c>
      <c r="K14" t="inlineStr">
        <is>
          <t>Built and tested</t>
        </is>
      </c>
      <c r="L14" t="inlineStr">
        <is>
          <t>Built and tested</t>
        </is>
      </c>
      <c r="M14" t="inlineStr">
        <is>
          <t>erase_candidate() run by a dedicated role; the erased_at rule refuses personal data on an erased profile</t>
        </is>
      </c>
      <c r="N14" t="inlineStr">
        <is>
          <t>candidate_profile (erased_at)</t>
        </is>
      </c>
    </row>
    <row r="15">
      <c r="A15" t="inlineStr">
        <is>
          <t>FR-P12</t>
        </is>
      </c>
      <c r="B15" t="inlineStr">
        <is>
          <t>FDS-01</t>
        </is>
      </c>
      <c r="C15" t="inlineStr">
        <is>
          <t>Profile</t>
        </is>
      </c>
      <c r="D15" t="inlineStr">
        <is>
          <t>Suspected duplicate profiles are linked with a review status.</t>
        </is>
      </c>
      <c r="E15" t="inlineStr">
        <is>
          <t>Not recorded</t>
        </is>
      </c>
      <c r="G15" t="inlineStr">
        <is>
          <t>Platform administrator</t>
        </is>
      </c>
      <c r="H15" t="inlineStr">
        <is>
          <t>DIFFERENTIATOR</t>
        </is>
      </c>
      <c r="I15" t="inlineStr">
        <is>
          <t>Derived from features</t>
        </is>
      </c>
      <c r="K15" t="inlineStr">
        <is>
          <t>Built and tested</t>
        </is>
      </c>
      <c r="L15" t="inlineStr">
        <is>
          <t>Built and tested</t>
        </is>
      </c>
      <c r="M15" t="inlineStr">
        <is>
          <t>Each pair stored once</t>
        </is>
      </c>
      <c r="N15" t="inlineStr">
        <is>
          <t>candidate_duplicate_link</t>
        </is>
      </c>
    </row>
    <row r="16">
      <c r="A16" t="inlineStr">
        <is>
          <t>FR-P13</t>
        </is>
      </c>
      <c r="B16" t="inlineStr">
        <is>
          <t>FDS-01</t>
        </is>
      </c>
      <c r="C16" t="inlineStr">
        <is>
          <t>Profile</t>
        </is>
      </c>
      <c r="D16" t="inlineStr">
        <is>
          <t>Links to the old systems are kept with sync direction, status, last error and source version.</t>
        </is>
      </c>
      <c r="E16" t="inlineStr">
        <is>
          <t>Not recorded</t>
        </is>
      </c>
      <c r="G16" t="inlineStr">
        <is>
          <t>Integration service</t>
        </is>
      </c>
      <c r="H16" t="inlineStr">
        <is>
          <t>MUST-HAVE</t>
        </is>
      </c>
      <c r="I16" t="inlineStr">
        <is>
          <t>Derived from features</t>
        </is>
      </c>
      <c r="K16" t="inlineStr">
        <is>
          <t>Built and tested</t>
        </is>
      </c>
      <c r="L16" t="inlineStr">
        <is>
          <t>Built and tested</t>
        </is>
      </c>
      <c r="M16" t="inlineStr">
        <is>
          <t>Unique per legacy system and source record</t>
        </is>
      </c>
      <c r="N16" t="inlineStr">
        <is>
          <t>candidate_legacy_record</t>
        </is>
      </c>
    </row>
    <row r="17">
      <c r="A17" t="inlineStr">
        <is>
          <t>FR-P14</t>
        </is>
      </c>
      <c r="B17" t="inlineStr">
        <is>
          <t>FDS-01</t>
        </is>
      </c>
      <c r="C17" t="inlineStr">
        <is>
          <t>Profile</t>
        </is>
      </c>
      <c r="D17" t="inlineStr">
        <is>
          <t>Assessments and courses with the candidate's attempts and progress are stored.</t>
        </is>
      </c>
      <c r="E17" t="inlineStr">
        <is>
          <t>Not recorded</t>
        </is>
      </c>
      <c r="G17" t="inlineStr">
        <is>
          <t>Candidate</t>
        </is>
      </c>
      <c r="H17" t="inlineStr">
        <is>
          <t>SHOULD-HAVE</t>
        </is>
      </c>
      <c r="I17" t="inlineStr">
        <is>
          <t>Derived from features</t>
        </is>
      </c>
      <c r="K17" t="inlineStr">
        <is>
          <t>Built</t>
        </is>
      </c>
      <c r="L17" t="inlineStr">
        <is>
          <t>Built</t>
        </is>
      </c>
      <c r="M17" t="inlineStr">
        <is>
          <t>Tables and keys</t>
        </is>
      </c>
      <c r="N17" t="inlineStr">
        <is>
          <t>assessment, assessment_attempt, course, course_enrolment</t>
        </is>
      </c>
    </row>
    <row r="18">
      <c r="A18" t="inlineStr">
        <is>
          <t>FR-J01</t>
        </is>
      </c>
      <c r="B18" t="inlineStr">
        <is>
          <t>FDS-01</t>
        </is>
      </c>
      <c r="C18" t="inlineStr">
        <is>
          <t>Jobs and Applications</t>
        </is>
      </c>
      <c r="D18" t="inlineStr">
        <is>
          <t>An employer posts a job requirement with category, description, experience range and an optional salary; hidden salary is stored as empty, never as zero.</t>
        </is>
      </c>
      <c r="E18" t="inlineStr">
        <is>
          <t>Not recorded</t>
        </is>
      </c>
      <c r="G18" t="inlineStr">
        <is>
          <t>Hiring manager</t>
        </is>
      </c>
      <c r="H18" t="inlineStr">
        <is>
          <t>SHOULD-HAVE</t>
        </is>
      </c>
      <c r="I18" t="inlineStr">
        <is>
          <t>Derived from features</t>
        </is>
      </c>
      <c r="K18" t="inlineStr">
        <is>
          <t>Built and tested</t>
        </is>
      </c>
      <c r="L18" t="inlineStr">
        <is>
          <t>Built and tested</t>
        </is>
      </c>
      <c r="M18" t="inlineStr">
        <is>
          <t>salary_only_if_disclosed check</t>
        </is>
      </c>
      <c r="N18" t="inlineStr">
        <is>
          <t>job_requirement</t>
        </is>
      </c>
    </row>
    <row r="19">
      <c r="A19" t="inlineStr">
        <is>
          <t>FR-J02</t>
        </is>
      </c>
      <c r="B19" t="inlineStr">
        <is>
          <t>FDS-01</t>
        </is>
      </c>
      <c r="C19" t="inlineStr">
        <is>
          <t>Jobs and Applications</t>
        </is>
      </c>
      <c r="D19" t="inlineStr">
        <is>
          <t>One requirement can hire for several positions, each with a role, headcount, location and own salary period.</t>
        </is>
      </c>
      <c r="E19" t="inlineStr">
        <is>
          <t>Not recorded</t>
        </is>
      </c>
      <c r="G19" t="inlineStr">
        <is>
          <t>Hiring manager</t>
        </is>
      </c>
      <c r="H19" t="inlineStr">
        <is>
          <t>SHOULD-HAVE</t>
        </is>
      </c>
      <c r="I19" t="inlineStr">
        <is>
          <t>Derived from features</t>
        </is>
      </c>
      <c r="K19" t="inlineStr">
        <is>
          <t>Built and tested</t>
        </is>
      </c>
      <c r="L19" t="inlineStr">
        <is>
          <t>Built and tested</t>
        </is>
      </c>
      <c r="M19" t="inlineStr">
        <is>
          <t>Salary range, currency and period checks</t>
        </is>
      </c>
      <c r="N19" t="inlineStr">
        <is>
          <t>job_requirement_position</t>
        </is>
      </c>
    </row>
    <row r="20">
      <c r="A20" t="inlineStr">
        <is>
          <t>FR-J03</t>
        </is>
      </c>
      <c r="B20" t="inlineStr">
        <is>
          <t>FDS-01</t>
        </is>
      </c>
      <c r="C20" t="inlineStr">
        <is>
          <t>Jobs and Applications</t>
        </is>
      </c>
      <c r="D20" t="inlineStr">
        <is>
          <t>A requirement lists required and preferred skills, qualifications and locations.</t>
        </is>
      </c>
      <c r="E20" t="inlineStr">
        <is>
          <t>Not recorded</t>
        </is>
      </c>
      <c r="G20" t="inlineStr">
        <is>
          <t>Hiring manager</t>
        </is>
      </c>
      <c r="H20" t="inlineStr">
        <is>
          <t>SHOULD-HAVE</t>
        </is>
      </c>
      <c r="I20" t="inlineStr">
        <is>
          <t>Derived from features</t>
        </is>
      </c>
      <c r="K20" t="inlineStr">
        <is>
          <t>Built and tested</t>
        </is>
      </c>
      <c r="L20" t="inlineStr">
        <is>
          <t>Built and tested</t>
        </is>
      </c>
      <c r="M20" t="inlineStr">
        <is>
          <t>Unique per skill; tests</t>
        </is>
      </c>
      <c r="N20" t="inlineStr">
        <is>
          <t>job_requirement_skill, job_requirement_qualification, job_requirement_location</t>
        </is>
      </c>
    </row>
    <row r="21">
      <c r="A21" t="inlineStr">
        <is>
          <t>FR-J04</t>
        </is>
      </c>
      <c r="B21" t="inlineStr">
        <is>
          <t>FDS-01</t>
        </is>
      </c>
      <c r="C21" t="inlineStr">
        <is>
          <t>Jobs and Applications</t>
        </is>
      </c>
      <c r="D21" t="inlineStr">
        <is>
          <t>A requirement moves through draft, open, on hold, filled and closed, with every change kept.</t>
        </is>
      </c>
      <c r="E21" t="inlineStr">
        <is>
          <t>Not recorded</t>
        </is>
      </c>
      <c r="G21" t="inlineStr">
        <is>
          <t>Hiring manager</t>
        </is>
      </c>
      <c r="H21" t="inlineStr">
        <is>
          <t>SHOULD-HAVE</t>
        </is>
      </c>
      <c r="I21" t="inlineStr">
        <is>
          <t>Derived from features</t>
        </is>
      </c>
      <c r="K21" t="inlineStr">
        <is>
          <t>Built and tested</t>
        </is>
      </c>
      <c r="L21" t="inlineStr">
        <is>
          <t>Built and tested</t>
        </is>
      </c>
      <c r="M21" t="inlineStr">
        <is>
          <t>Append-only; status-changed check</t>
        </is>
      </c>
      <c r="N21" t="inlineStr">
        <is>
          <t>job_requirement_status_history</t>
        </is>
      </c>
    </row>
    <row r="22">
      <c r="A22" t="inlineStr">
        <is>
          <t>FR-J05</t>
        </is>
      </c>
      <c r="B22" t="inlineStr">
        <is>
          <t>FDS-01</t>
        </is>
      </c>
      <c r="C22" t="inlineStr">
        <is>
          <t>Jobs and Applications</t>
        </is>
      </c>
      <c r="D22" t="inlineStr">
        <is>
          <t>A requirement is published on channels for a window; windows on the same channel cannot overlap.</t>
        </is>
      </c>
      <c r="E22" t="inlineStr">
        <is>
          <t>Not recorded</t>
        </is>
      </c>
      <c r="G22" t="inlineStr">
        <is>
          <t>Platform operator</t>
        </is>
      </c>
      <c r="H22" t="inlineStr">
        <is>
          <t>MUST-HAVE</t>
        </is>
      </c>
      <c r="I22" t="inlineStr">
        <is>
          <t>Derived from features</t>
        </is>
      </c>
      <c r="K22" t="inlineStr">
        <is>
          <t>Built and tested</t>
        </is>
      </c>
      <c r="L22" t="inlineStr">
        <is>
          <t>Built and tested</t>
        </is>
      </c>
      <c r="M22" t="inlineStr">
        <is>
          <t>Exclusion constraint</t>
        </is>
      </c>
      <c r="N22" t="inlineStr">
        <is>
          <t>job_requirement_publication</t>
        </is>
      </c>
    </row>
    <row r="23">
      <c r="A23" t="inlineStr">
        <is>
          <t>FR-J06</t>
        </is>
      </c>
      <c r="B23" t="inlineStr">
        <is>
          <t>FDS-01</t>
        </is>
      </c>
      <c r="C23" t="inlineStr">
        <is>
          <t>Jobs and Applications</t>
        </is>
      </c>
      <c r="D23" t="inlineStr">
        <is>
          <t>Recruiters are assigned to a requirement of their own company; an agency can post on behalf of a company.</t>
        </is>
      </c>
      <c r="E23" t="inlineStr">
        <is>
          <t>Not recorded</t>
        </is>
      </c>
      <c r="G23" t="inlineStr">
        <is>
          <t>Recruiter</t>
        </is>
      </c>
      <c r="H23" t="inlineStr">
        <is>
          <t>SHOULD-HAVE</t>
        </is>
      </c>
      <c r="I23" t="inlineStr">
        <is>
          <t>Derived from features</t>
        </is>
      </c>
      <c r="K23" t="inlineStr">
        <is>
          <t>Built</t>
        </is>
      </c>
      <c r="L23" t="inlineStr">
        <is>
          <t>Built; the company rule trigger comes with the Organisation module</t>
        </is>
      </c>
      <c r="M23" t="inlineStr">
        <is>
          <t>Composite key of requirement and organisation</t>
        </is>
      </c>
      <c r="N23" t="inlineStr">
        <is>
          <t>job_requirement_recruiter, job_requirement (posting_agency_organisation_id)</t>
        </is>
      </c>
    </row>
    <row r="24">
      <c r="A24" t="inlineStr">
        <is>
          <t>FR-J07</t>
        </is>
      </c>
      <c r="B24" t="inlineStr">
        <is>
          <t>FDS-01</t>
        </is>
      </c>
      <c r="C24" t="inlineStr">
        <is>
          <t>Jobs and Applications</t>
        </is>
      </c>
      <c r="D24" t="inlineStr">
        <is>
          <t>A requirement can carry a screening questionnaire with typed questions and options, and a candidate gives one answer per question.</t>
        </is>
      </c>
      <c r="E24" t="inlineStr">
        <is>
          <t>Not recorded</t>
        </is>
      </c>
      <c r="G24" t="inlineStr">
        <is>
          <t>Candidate</t>
        </is>
      </c>
      <c r="H24" t="inlineStr">
        <is>
          <t>MUST-HAVE</t>
        </is>
      </c>
      <c r="I24" t="inlineStr">
        <is>
          <t>Derived from features</t>
        </is>
      </c>
      <c r="K24" t="inlineStr">
        <is>
          <t>Built and tested</t>
        </is>
      </c>
      <c r="L24" t="inlineStr">
        <is>
          <t>Built and tested</t>
        </is>
      </c>
      <c r="M24" t="inlineStr">
        <is>
          <t>Unique answer per question; option must belong to its question</t>
        </is>
      </c>
      <c r="N24" t="inlineStr">
        <is>
          <t>questionnaire, questionnaire_question, questionnaire_question_option, application_answer</t>
        </is>
      </c>
    </row>
    <row r="25">
      <c r="A25" t="inlineStr">
        <is>
          <t>FR-J08</t>
        </is>
      </c>
      <c r="B25" t="inlineStr">
        <is>
          <t>FDS-01</t>
        </is>
      </c>
      <c r="C25" t="inlineStr">
        <is>
          <t>Jobs and Applications</t>
        </is>
      </c>
      <c r="D25" t="inlineStr">
        <is>
          <t>A candidate applies once to a requirement; the database refuses a second application.</t>
        </is>
      </c>
      <c r="E25" t="inlineStr">
        <is>
          <t>Not recorded</t>
        </is>
      </c>
      <c r="G25" t="inlineStr">
        <is>
          <t>Platform operator</t>
        </is>
      </c>
      <c r="H25" t="inlineStr">
        <is>
          <t>MUST-HAVE</t>
        </is>
      </c>
      <c r="I25" t="inlineStr">
        <is>
          <t>Derived from features</t>
        </is>
      </c>
      <c r="K25" t="inlineStr">
        <is>
          <t>Built and tested</t>
        </is>
      </c>
      <c r="L25" t="inlineStr">
        <is>
          <t>Built and tested</t>
        </is>
      </c>
      <c r="M25" t="inlineStr">
        <is>
          <t>Unique rule including the partition key</t>
        </is>
      </c>
      <c r="N25" t="inlineStr">
        <is>
          <t>application</t>
        </is>
      </c>
    </row>
    <row r="26">
      <c r="A26" t="inlineStr">
        <is>
          <t>FR-J09</t>
        </is>
      </c>
      <c r="B26" t="inlineStr">
        <is>
          <t>FDS-01</t>
        </is>
      </c>
      <c r="C26" t="inlineStr">
        <is>
          <t>Jobs and Applications</t>
        </is>
      </c>
      <c r="D26" t="inlineStr">
        <is>
          <t>An application keeps its current status and an append-only history of every change.</t>
        </is>
      </c>
      <c r="E26" t="inlineStr">
        <is>
          <t>Not recorded</t>
        </is>
      </c>
      <c r="G26" t="inlineStr">
        <is>
          <t>Candidate</t>
        </is>
      </c>
      <c r="H26" t="inlineStr">
        <is>
          <t>MUST-HAVE</t>
        </is>
      </c>
      <c r="I26" t="inlineStr">
        <is>
          <t>Derived from features</t>
        </is>
      </c>
      <c r="K26" t="inlineStr">
        <is>
          <t>Built and tested</t>
        </is>
      </c>
      <c r="L26" t="inlineStr">
        <is>
          <t>Built and tested</t>
        </is>
      </c>
      <c r="M26" t="inlineStr">
        <is>
          <t>Append-only guard; status-changed check</t>
        </is>
      </c>
      <c r="N26" t="inlineStr">
        <is>
          <t>application, application_status_history</t>
        </is>
      </c>
    </row>
    <row r="27">
      <c r="A27" t="inlineStr">
        <is>
          <t>FR-J10</t>
        </is>
      </c>
      <c r="B27" t="inlineStr">
        <is>
          <t>FDS-01</t>
        </is>
      </c>
      <c r="C27" t="inlineStr">
        <is>
          <t>Jobs and Applications</t>
        </is>
      </c>
      <c r="D27" t="inlineStr">
        <is>
          <t>A rejection records a standard reason and a note; recruiters keep notes on applications.</t>
        </is>
      </c>
      <c r="E27" t="inlineStr">
        <is>
          <t>Not recorded</t>
        </is>
      </c>
      <c r="G27" t="inlineStr">
        <is>
          <t>Candidate</t>
        </is>
      </c>
      <c r="H27" t="inlineStr">
        <is>
          <t>MUST-HAVE</t>
        </is>
      </c>
      <c r="I27" t="inlineStr">
        <is>
          <t>Derived from features</t>
        </is>
      </c>
      <c r="K27" t="inlineStr">
        <is>
          <t>Built and tested</t>
        </is>
      </c>
      <c r="L27" t="inlineStr">
        <is>
          <t>Built and tested</t>
        </is>
      </c>
      <c r="M27" t="inlineStr">
        <is>
          <t>Append-only rejection</t>
        </is>
      </c>
      <c r="N27" t="inlineStr">
        <is>
          <t>application_rejection, application_note</t>
        </is>
      </c>
    </row>
    <row r="28">
      <c r="A28" t="inlineStr">
        <is>
          <t>FR-J11</t>
        </is>
      </c>
      <c r="B28" t="inlineStr">
        <is>
          <t>FDS-01</t>
        </is>
      </c>
      <c r="C28" t="inlineStr">
        <is>
          <t>Jobs and Applications</t>
        </is>
      </c>
      <c r="D28" t="inlineStr">
        <is>
          <t>Recruiters build shortlists of candidates for a requirement.</t>
        </is>
      </c>
      <c r="E28" t="inlineStr">
        <is>
          <t>Not recorded</t>
        </is>
      </c>
      <c r="G28" t="inlineStr">
        <is>
          <t>Recruiter</t>
        </is>
      </c>
      <c r="H28" t="inlineStr">
        <is>
          <t>MUST-HAVE</t>
        </is>
      </c>
      <c r="I28" t="inlineStr">
        <is>
          <t>Derived from features</t>
        </is>
      </c>
      <c r="K28" t="inlineStr">
        <is>
          <t>Built and tested</t>
        </is>
      </c>
      <c r="L28" t="inlineStr">
        <is>
          <t>Built and tested</t>
        </is>
      </c>
      <c r="M28" t="inlineStr">
        <is>
          <t>No duplicate entries</t>
        </is>
      </c>
      <c r="N28" t="inlineStr">
        <is>
          <t>shortlist, shortlist_entry</t>
        </is>
      </c>
    </row>
    <row r="29">
      <c r="A29" t="inlineStr">
        <is>
          <t>FR-J12</t>
        </is>
      </c>
      <c r="B29" t="inlineStr">
        <is>
          <t>FDS-01</t>
        </is>
      </c>
      <c r="C29" t="inlineStr">
        <is>
          <t>Jobs and Applications</t>
        </is>
      </c>
      <c r="D29" t="inlineStr">
        <is>
          <t>Interviews are scheduled by round with a panel; a cancelled round frees its number; interviewers give one rating and recommendation each.</t>
        </is>
      </c>
      <c r="E29" t="inlineStr">
        <is>
          <t>Not recorded</t>
        </is>
      </c>
      <c r="G29" t="inlineStr">
        <is>
          <t>Hiring manager</t>
        </is>
      </c>
      <c r="H29" t="inlineStr">
        <is>
          <t>SHOULD-HAVE</t>
        </is>
      </c>
      <c r="I29" t="inlineStr">
        <is>
          <t>Derived from features</t>
        </is>
      </c>
      <c r="K29" t="inlineStr">
        <is>
          <t>Built and tested</t>
        </is>
      </c>
      <c r="L29" t="inlineStr">
        <is>
          <t>Built and tested</t>
        </is>
      </c>
      <c r="M29" t="inlineStr">
        <is>
          <t>Round, time-order and feedback rules</t>
        </is>
      </c>
      <c r="N29" t="inlineStr">
        <is>
          <t>interview, interview_participant, interview_feedback</t>
        </is>
      </c>
    </row>
    <row r="30">
      <c r="A30" t="inlineStr">
        <is>
          <t>FR-J13</t>
        </is>
      </c>
      <c r="B30" t="inlineStr">
        <is>
          <t>FDS-01</t>
        </is>
      </c>
      <c r="C30" t="inlineStr">
        <is>
          <t>Jobs and Applications</t>
        </is>
      </c>
      <c r="D30" t="inlineStr">
        <is>
          <t>Offers are revised as new rows with a revision number and the offer they replace; the candidate's response is kept.</t>
        </is>
      </c>
      <c r="E30" t="inlineStr">
        <is>
          <t>Not recorded</t>
        </is>
      </c>
      <c r="G30" t="inlineStr">
        <is>
          <t>Hiring manager</t>
        </is>
      </c>
      <c r="H30" t="inlineStr">
        <is>
          <t>SHOULD-HAVE</t>
        </is>
      </c>
      <c r="I30" t="inlineStr">
        <is>
          <t>Derived from features</t>
        </is>
      </c>
      <c r="K30" t="inlineStr">
        <is>
          <t>Built and tested</t>
        </is>
      </c>
      <c r="L30" t="inlineStr">
        <is>
          <t>Built and tested</t>
        </is>
      </c>
      <c r="M30" t="inlineStr">
        <is>
          <t>Unique revision per application</t>
        </is>
      </c>
      <c r="N30" t="inlineStr">
        <is>
          <t>offer</t>
        </is>
      </c>
    </row>
    <row r="31">
      <c r="A31" t="inlineStr">
        <is>
          <t>FR-J14</t>
        </is>
      </c>
      <c r="B31" t="inlineStr">
        <is>
          <t>FDS-01</t>
        </is>
      </c>
      <c r="C31" t="inlineStr">
        <is>
          <t>Jobs and Applications</t>
        </is>
      </c>
      <c r="D31" t="inlineStr">
        <is>
          <t>A joining is confirmed once per application.</t>
        </is>
      </c>
      <c r="E31" t="inlineStr">
        <is>
          <t>Not recorded</t>
        </is>
      </c>
      <c r="G31" t="inlineStr">
        <is>
          <t>Hiring manager</t>
        </is>
      </c>
      <c r="H31" t="inlineStr">
        <is>
          <t>SHOULD-HAVE</t>
        </is>
      </c>
      <c r="I31" t="inlineStr">
        <is>
          <t>Derived from features</t>
        </is>
      </c>
      <c r="K31" t="inlineStr">
        <is>
          <t>Built and tested</t>
        </is>
      </c>
      <c r="L31" t="inlineStr">
        <is>
          <t>Built and tested</t>
        </is>
      </c>
      <c r="M31" t="inlineStr">
        <is>
          <t>Unique and append-only</t>
        </is>
      </c>
      <c r="N31" t="inlineStr">
        <is>
          <t>application_joining</t>
        </is>
      </c>
    </row>
    <row r="32">
      <c r="A32" t="inlineStr">
        <is>
          <t>FR-J15</t>
        </is>
      </c>
      <c r="B32" t="inlineStr">
        <is>
          <t>FDS-01</t>
        </is>
      </c>
      <c r="C32" t="inlineStr">
        <is>
          <t>Jobs and Applications</t>
        </is>
      </c>
      <c r="D32" t="inlineStr">
        <is>
          <t>Candidates save jobs; searches, job views and shares are recorded for analysis and kept 12 months.</t>
        </is>
      </c>
      <c r="E32" t="inlineStr">
        <is>
          <t>Not recorded</t>
        </is>
      </c>
      <c r="G32" t="inlineStr">
        <is>
          <t>Candidate</t>
        </is>
      </c>
      <c r="H32" t="inlineStr">
        <is>
          <t>MUST-HAVE</t>
        </is>
      </c>
      <c r="I32" t="inlineStr">
        <is>
          <t>Derived from features</t>
        </is>
      </c>
      <c r="K32" t="inlineStr">
        <is>
          <t>Built and tested</t>
        </is>
      </c>
      <c r="L32" t="inlineStr">
        <is>
          <t>Built and tested</t>
        </is>
      </c>
      <c r="M32" t="inlineStr">
        <is>
          <t>Monthly partitions, dropped by month</t>
        </is>
      </c>
      <c r="N32" t="inlineStr">
        <is>
          <t>saved_job, job_search_event, job_view_event, job_share_event</t>
        </is>
      </c>
    </row>
    <row r="33">
      <c r="A33" t="inlineStr">
        <is>
          <t>FR-J16</t>
        </is>
      </c>
      <c r="B33" t="inlineStr">
        <is>
          <t>FDS-01</t>
        </is>
      </c>
      <c r="C33" t="inlineStr">
        <is>
          <t>Jobs and Applications</t>
        </is>
      </c>
      <c r="D33" t="inlineStr">
        <is>
          <t>Campus hiring: an employer runs a drive at an institution with an optional placement officer, and candidates take part.</t>
        </is>
      </c>
      <c r="E33" t="inlineStr">
        <is>
          <t>Not recorded</t>
        </is>
      </c>
      <c r="G33" t="inlineStr">
        <is>
          <t>Placement officer</t>
        </is>
      </c>
      <c r="H33" t="inlineStr">
        <is>
          <t>SHOULD-HAVE</t>
        </is>
      </c>
      <c r="I33" t="inlineStr">
        <is>
          <t>Derived from features</t>
        </is>
      </c>
      <c r="K33" t="inlineStr">
        <is>
          <t>Built and tested</t>
        </is>
      </c>
      <c r="L33" t="inlineStr">
        <is>
          <t>Built and tested</t>
        </is>
      </c>
      <c r="M33" t="inlineStr">
        <is>
          <t>Date-order rule</t>
        </is>
      </c>
      <c r="N33" t="inlineStr">
        <is>
          <t>campus_drive, campus_drive_participant</t>
        </is>
      </c>
    </row>
    <row r="34">
      <c r="A34" t="inlineStr">
        <is>
          <t>FR-J17</t>
        </is>
      </c>
      <c r="B34" t="inlineStr">
        <is>
          <t>FDS-01</t>
        </is>
      </c>
      <c r="C34" t="inlineStr">
        <is>
          <t>Jobs and Applications</t>
        </is>
      </c>
      <c r="D34" t="inlineStr">
        <is>
          <t>Links to old systems for jobs are kept with sync direction, status, last error and source version.</t>
        </is>
      </c>
      <c r="E34" t="inlineStr">
        <is>
          <t>Not recorded</t>
        </is>
      </c>
      <c r="G34" t="inlineStr">
        <is>
          <t>Integration service</t>
        </is>
      </c>
      <c r="H34" t="inlineStr">
        <is>
          <t>MUST-HAVE</t>
        </is>
      </c>
      <c r="I34" t="inlineStr">
        <is>
          <t>Derived from features</t>
        </is>
      </c>
      <c r="K34" t="inlineStr">
        <is>
          <t>Built and tested</t>
        </is>
      </c>
      <c r="L34" t="inlineStr">
        <is>
          <t>Built and tested</t>
        </is>
      </c>
      <c r="M34" t="inlineStr">
        <is>
          <t>Unique per legacy system and source record</t>
        </is>
      </c>
      <c r="N34" t="inlineStr">
        <is>
          <t>job_requirement_legacy_record</t>
        </is>
      </c>
    </row>
    <row r="35">
      <c r="A35" t="inlineStr">
        <is>
          <t>FR-M01</t>
        </is>
      </c>
      <c r="B35" t="inlineStr">
        <is>
          <t>FDS-01</t>
        </is>
      </c>
      <c r="C35" t="inlineStr">
        <is>
          <t>Master data</t>
        </is>
      </c>
      <c r="D35" t="inlineStr">
        <is>
          <t>Every enumeration is a lookup table with a stable code, a name, sort order and an active flag; retired values stay.</t>
        </is>
      </c>
      <c r="E35" t="inlineStr">
        <is>
          <t>Not recorded</t>
        </is>
      </c>
      <c r="G35" t="inlineStr">
        <is>
          <t>Platform operator</t>
        </is>
      </c>
      <c r="H35" t="inlineStr">
        <is>
          <t>SHOULD-HAVE</t>
        </is>
      </c>
      <c r="I35" t="inlineStr">
        <is>
          <t>Derived from features</t>
        </is>
      </c>
      <c r="K35" t="inlineStr">
        <is>
          <t>Built and tested</t>
        </is>
      </c>
      <c r="L35" t="inlineStr">
        <is>
          <t>Built and tested</t>
        </is>
      </c>
      <c r="M35" t="inlineStr">
        <is>
          <t>Foreign keys to lookups are RESTRICT; integer key test; reference data in seed/reference/</t>
        </is>
      </c>
      <c r="N35" t="inlineStr">
        <is>
          <t>48 lookup tables</t>
        </is>
      </c>
    </row>
    <row r="36">
      <c r="A36" t="inlineStr">
        <is>
          <t>FR-M02</t>
        </is>
      </c>
      <c r="B36" t="inlineStr">
        <is>
          <t>FDS-01</t>
        </is>
      </c>
      <c r="C36" t="inlineStr">
        <is>
          <t>Master data</t>
        </is>
      </c>
      <c r="D36" t="inlineStr">
        <is>
          <t>Names in many languages: translation tables for the 11 content lists, screen text by key for the 37 small enumerations, skill aliases, states and regions, currencies with ISO codes.</t>
        </is>
      </c>
      <c r="E36" t="inlineStr">
        <is>
          <t>Not recorded</t>
        </is>
      </c>
      <c r="G36" t="inlineStr">
        <is>
          <t>Candidate</t>
        </is>
      </c>
      <c r="H36" t="inlineStr">
        <is>
          <t>SHOULD-HAVE</t>
        </is>
      </c>
      <c r="I36" t="inlineStr">
        <is>
          <t>Derived from features</t>
        </is>
      </c>
      <c r="K36" t="inlineStr">
        <is>
          <t>Built and tested</t>
        </is>
      </c>
      <c r="L36" t="inlineStr">
        <is>
          <t>Built and tested</t>
        </is>
      </c>
      <c r="M36" t="inlineStr">
        <is>
          <t>71 Master data tests; ui_missing_enum_keys() returns no rows after the reference load</t>
        </is>
      </c>
      <c r="N36" t="inlineStr">
        <is>
          <t>state_region, currency, skill_alias, ui_translation_key, ui_translation, city_translation, skill_translation</t>
        </is>
      </c>
    </row>
    <row r="37">
      <c r="A37" t="inlineStr">
        <is>
          <t>FR-M03</t>
        </is>
      </c>
      <c r="B37" t="inlineStr">
        <is>
          <t>FDS-01</t>
        </is>
      </c>
      <c r="C37" t="inlineStr">
        <is>
          <t>Master data</t>
        </is>
      </c>
      <c r="D37" t="inlineStr">
        <is>
          <t>Allowed status changes for applications and for job requirements are stored in tables, and the history insert refuses a jump that is not listed.</t>
        </is>
      </c>
      <c r="E37" t="inlineStr">
        <is>
          <t>Not recorded</t>
        </is>
      </c>
      <c r="G37" t="inlineStr">
        <is>
          <t>Candidate</t>
        </is>
      </c>
      <c r="H37" t="inlineStr">
        <is>
          <t>MUST-HAVE</t>
        </is>
      </c>
      <c r="I37" t="inlineStr">
        <is>
          <t>Derived from features</t>
        </is>
      </c>
      <c r="K37" t="inlineStr">
        <is>
          <t>Built and tested</t>
        </is>
      </c>
      <c r="L37" t="inlineStr">
        <is>
          <t>Built and tested</t>
        </is>
      </c>
      <c r="M37" t="inlineStr">
        <is>
          <t>Triggers on the two status history tables; transition tests</t>
        </is>
      </c>
      <c r="N37" t="inlineStr">
        <is>
          <t>application_status_transition, job_requirement_status_transition</t>
        </is>
      </c>
    </row>
    <row r="38">
      <c r="A38" t="inlineStr">
        <is>
          <t>FR-X01</t>
        </is>
      </c>
      <c r="B38" t="inlineStr">
        <is>
          <t>FDS-01</t>
        </is>
      </c>
      <c r="C38" t="inlineStr">
        <is>
          <t>Cross module</t>
        </is>
      </c>
      <c r="D38" t="inlineStr">
        <is>
          <t>Gig work lives in its own subsystem with time windows, price and one-way bids.</t>
        </is>
      </c>
      <c r="E38" t="inlineStr">
        <is>
          <t>Not recorded</t>
        </is>
      </c>
      <c r="G38" t="inlineStr">
        <is>
          <t>Gig worker</t>
        </is>
      </c>
      <c r="H38" t="inlineStr">
        <is>
          <t>SHOULD-HAVE</t>
        </is>
      </c>
      <c r="I38" t="inlineStr">
        <is>
          <t>Derived from features</t>
        </is>
      </c>
      <c r="K38" t="inlineStr">
        <is>
          <t>Built and tested</t>
        </is>
      </c>
      <c r="L38" t="inlineStr">
        <is>
          <t>Built and tested (G1)</t>
        </is>
      </c>
      <c r="M38" t="inlineStr">
        <is>
          <t>docs/decisions.md G1</t>
        </is>
      </c>
      <c r="N38" t="inlineStr">
        <is>
          <t>gig_worker_profile, gig_request, gig_bid, gig_assignment</t>
        </is>
      </c>
    </row>
    <row r="39">
      <c r="A39" t="inlineStr">
        <is>
          <t>FR-X02</t>
        </is>
      </c>
      <c r="B39" t="inlineStr">
        <is>
          <t>FDS-01</t>
        </is>
      </c>
      <c r="C39" t="inlineStr">
        <is>
          <t>Cross module</t>
        </is>
      </c>
      <c r="D39" t="inlineStr">
        <is>
          <t>Nine outside systems are referenced, not copied, with one exchange log and duplicate protection.</t>
        </is>
      </c>
      <c r="E39" t="inlineStr">
        <is>
          <t>Not recorded</t>
        </is>
      </c>
      <c r="G39" t="inlineStr">
        <is>
          <t>Integration service</t>
        </is>
      </c>
      <c r="H39" t="inlineStr">
        <is>
          <t>MUST-HAVE</t>
        </is>
      </c>
      <c r="I39" t="inlineStr">
        <is>
          <t>Derived from features</t>
        </is>
      </c>
      <c r="K39" t="inlineStr">
        <is>
          <t>Built and tested</t>
        </is>
      </c>
      <c r="L39" t="inlineStr">
        <is>
          <t>Built and tested</t>
        </is>
      </c>
      <c r="M39" t="inlineStr">
        <is>
          <t>docs/integration-boundaries.md</t>
        </is>
      </c>
      <c r="N39" t="inlineStr">
        <is>
          <t>integration_exchange</t>
        </is>
      </c>
    </row>
    <row r="40">
      <c r="A40" t="inlineStr">
        <is>
          <t>FR-A01</t>
        </is>
      </c>
      <c r="B40" t="inlineStr">
        <is>
          <t>FDS-01</t>
        </is>
      </c>
      <c r="C40" t="inlineStr">
        <is>
          <t>Administration</t>
        </is>
      </c>
      <c r="D40" t="inlineStr">
        <is>
          <t>Every person or system that signs in is an account with a type and a status; account 1 is the system account and the other tables point at accounts for who did what.</t>
        </is>
      </c>
      <c r="E40" t="inlineStr">
        <is>
          <t>Not recorded</t>
        </is>
      </c>
      <c r="G40" t="inlineStr">
        <is>
          <t>Platform administrator</t>
        </is>
      </c>
      <c r="H40" t="inlineStr">
        <is>
          <t>SHOULD-HAVE</t>
        </is>
      </c>
      <c r="I40" t="inlineStr">
        <is>
          <t>Derived from features</t>
        </is>
      </c>
      <c r="K40" t="inlineStr">
        <is>
          <t>Built and tested</t>
        </is>
      </c>
      <c r="L40" t="inlineStr">
        <is>
          <t>Built and tested</t>
        </is>
      </c>
      <c r="M40" t="inlineStr">
        <is>
          <t>Sign-in details checks; unique among active accounts; system account test</t>
        </is>
      </c>
      <c r="N40" t="inlineStr">
        <is>
          <t>user_account</t>
        </is>
      </c>
    </row>
    <row r="41">
      <c r="A41" t="inlineStr">
        <is>
          <t>FR-A02</t>
        </is>
      </c>
      <c r="B41" t="inlineStr">
        <is>
          <t>FDS-01</t>
        </is>
      </c>
      <c r="C41" t="inlineStr">
        <is>
          <t>Administration</t>
        </is>
      </c>
      <c r="D41" t="inlineStr">
        <is>
          <t>Passwords are stored only as a slow hash, apart from the account, with lock-out counters; federated sign-in stores the provider subject.</t>
        </is>
      </c>
      <c r="E41" t="inlineStr">
        <is>
          <t>Not recorded</t>
        </is>
      </c>
      <c r="G41" t="inlineStr">
        <is>
          <t>Platform administrator</t>
        </is>
      </c>
      <c r="H41" t="inlineStr">
        <is>
          <t>MUST-HAVE</t>
        </is>
      </c>
      <c r="I41" t="inlineStr">
        <is>
          <t>Derived from features</t>
        </is>
      </c>
      <c r="K41" t="inlineStr">
        <is>
          <t>Built and tested</t>
        </is>
      </c>
      <c r="L41" t="inlineStr">
        <is>
          <t>Built and tested</t>
        </is>
      </c>
      <c r="M41" t="inlineStr">
        <is>
          <t>One-secret and hash-algorithm checks; unique per account and type</t>
        </is>
      </c>
      <c r="N41" t="inlineStr">
        <is>
          <t>user_credential</t>
        </is>
      </c>
    </row>
    <row r="42">
      <c r="A42" t="inlineStr">
        <is>
          <t>FR-A03</t>
        </is>
      </c>
      <c r="B42" t="inlineStr">
        <is>
          <t>FDS-01</t>
        </is>
      </c>
      <c r="C42" t="inlineStr">
        <is>
          <t>Administration</t>
        </is>
      </c>
      <c r="D42" t="inlineStr">
        <is>
          <t>One-time tokens for verification and reset are stored only as a hash and expire.</t>
        </is>
      </c>
      <c r="E42" t="inlineStr">
        <is>
          <t>Not recorded</t>
        </is>
      </c>
      <c r="G42" t="inlineStr">
        <is>
          <t>Platform administrator</t>
        </is>
      </c>
      <c r="H42" t="inlineStr">
        <is>
          <t>MUST-HAVE</t>
        </is>
      </c>
      <c r="I42" t="inlineStr">
        <is>
          <t>Derived from features</t>
        </is>
      </c>
      <c r="K42" t="inlineStr">
        <is>
          <t>Built and tested</t>
        </is>
      </c>
      <c r="L42" t="inlineStr">
        <is>
          <t>Built and tested</t>
        </is>
      </c>
      <c r="M42" t="inlineStr">
        <is>
          <t>Hash format and expiry checks; unique token hash</t>
        </is>
      </c>
      <c r="N42" t="inlineStr">
        <is>
          <t>user_token</t>
        </is>
      </c>
    </row>
    <row r="43">
      <c r="A43" t="inlineStr">
        <is>
          <t>FR-A04</t>
        </is>
      </c>
      <c r="B43" t="inlineStr">
        <is>
          <t>FDS-01</t>
        </is>
      </c>
      <c r="C43" t="inlineStr">
        <is>
          <t>Administration</t>
        </is>
      </c>
      <c r="D43" t="inlineStr">
        <is>
          <t>Sign-in sessions and their end are append-only, split by month and dropped after 90 days; every attempt is logged.</t>
        </is>
      </c>
      <c r="E43" t="inlineStr">
        <is>
          <t>Not recorded</t>
        </is>
      </c>
      <c r="G43" t="inlineStr">
        <is>
          <t>Platform operator</t>
        </is>
      </c>
      <c r="H43" t="inlineStr">
        <is>
          <t>MUST-HAVE</t>
        </is>
      </c>
      <c r="I43" t="inlineStr">
        <is>
          <t>Derived from features</t>
        </is>
      </c>
      <c r="K43" t="inlineStr">
        <is>
          <t>Built and tested</t>
        </is>
      </c>
      <c r="L43" t="inlineStr">
        <is>
          <t>Built and tested</t>
        </is>
      </c>
      <c r="M43" t="inlineStr">
        <is>
          <t>Append-only guards; composite key; 24 monthly partitions</t>
        </is>
      </c>
      <c r="N43" t="inlineStr">
        <is>
          <t>identity_session, identity_session_end, login_event</t>
        </is>
      </c>
    </row>
    <row r="44">
      <c r="A44" t="inlineStr">
        <is>
          <t>FR-A05</t>
        </is>
      </c>
      <c r="B44" t="inlineStr">
        <is>
          <t>FDS-01</t>
        </is>
      </c>
      <c r="C44" t="inlineStr">
        <is>
          <t>Administration</t>
        </is>
      </c>
      <c r="D44" t="inlineStr">
        <is>
          <t>Roles hold permissions; an account holds roles for a period, optionally for one organisation, with history.</t>
        </is>
      </c>
      <c r="E44" t="inlineStr">
        <is>
          <t>Not recorded</t>
        </is>
      </c>
      <c r="G44" t="inlineStr">
        <is>
          <t>Platform administrator</t>
        </is>
      </c>
      <c r="H44" t="inlineStr">
        <is>
          <t>SHOULD-HAVE</t>
        </is>
      </c>
      <c r="I44" t="inlineStr">
        <is>
          <t>Derived from features</t>
        </is>
      </c>
      <c r="K44" t="inlineStr">
        <is>
          <t>Built and tested</t>
        </is>
      </c>
      <c r="L44" t="inlineStr">
        <is>
          <t>Built and tested</t>
        </is>
      </c>
      <c r="M44" t="inlineStr">
        <is>
          <t>One active grant per account, role and organisation; window check</t>
        </is>
      </c>
      <c r="N44" t="inlineStr">
        <is>
          <t>access_role, access_permission, access_role_permission, user_access_role</t>
        </is>
      </c>
    </row>
    <row r="45">
      <c r="A45" t="inlineStr">
        <is>
          <t>FR-A06</t>
        </is>
      </c>
      <c r="B45" t="inlineStr">
        <is>
          <t>FDS-01</t>
        </is>
      </c>
      <c r="C45" t="inlineStr">
        <is>
          <t>Administration</t>
        </is>
      </c>
      <c r="D45" t="inlineStr">
        <is>
          <t>The audit trail records who did which sensitive action to what and when, and nobody can change or delete it.</t>
        </is>
      </c>
      <c r="E45" t="inlineStr">
        <is>
          <t>Not recorded</t>
        </is>
      </c>
      <c r="G45" t="inlineStr">
        <is>
          <t>Compliance and privacy officer</t>
        </is>
      </c>
      <c r="H45" t="inlineStr">
        <is>
          <t>MUST-HAVE</t>
        </is>
      </c>
      <c r="I45" t="inlineStr">
        <is>
          <t>Derived from features</t>
        </is>
      </c>
      <c r="K45" t="inlineStr">
        <is>
          <t>Built and tested</t>
        </is>
      </c>
      <c r="L45" t="inlineStr">
        <is>
          <t>Built and tested</t>
        </is>
      </c>
      <c r="M45" t="inlineStr">
        <is>
          <t>Append-only guard; details size check; monthly partitions</t>
        </is>
      </c>
      <c r="N45" t="inlineStr">
        <is>
          <t>audit_event</t>
        </is>
      </c>
    </row>
    <row r="46">
      <c r="A46" t="inlineStr">
        <is>
          <t>FR-A07</t>
        </is>
      </c>
      <c r="B46" t="inlineStr">
        <is>
          <t>FDS-01</t>
        </is>
      </c>
      <c r="C46" t="inlineStr">
        <is>
          <t>Administration</t>
        </is>
      </c>
      <c r="D46" t="inlineStr">
        <is>
          <t>Consent decisions are kept as history with the document version; a withdrawal is a new row.</t>
        </is>
      </c>
      <c r="E46" t="inlineStr">
        <is>
          <t>Not recorded</t>
        </is>
      </c>
      <c r="G46" t="inlineStr">
        <is>
          <t>Compliance and privacy officer</t>
        </is>
      </c>
      <c r="H46" t="inlineStr">
        <is>
          <t>MUST-HAVE</t>
        </is>
      </c>
      <c r="I46" t="inlineStr">
        <is>
          <t>Derived from features</t>
        </is>
      </c>
      <c r="K46" t="inlineStr">
        <is>
          <t>Built and tested</t>
        </is>
      </c>
      <c r="L46" t="inlineStr">
        <is>
          <t>Built and tested</t>
        </is>
      </c>
      <c r="M46" t="inlineStr">
        <is>
          <t>Append-only guard; decision and version required</t>
        </is>
      </c>
      <c r="N46" t="inlineStr">
        <is>
          <t>consent_record</t>
        </is>
      </c>
    </row>
    <row r="47">
      <c r="A47" t="inlineStr">
        <is>
          <t>FR-A08</t>
        </is>
      </c>
      <c r="B47" t="inlineStr">
        <is>
          <t>FDS-01</t>
        </is>
      </c>
      <c r="C47" t="inlineStr">
        <is>
          <t>Administration</t>
        </is>
      </c>
      <c r="D47" t="inlineStr">
        <is>
          <t>A candidate can block an organisation or a person, and the blocked side cannot see the candidate while the block is active.</t>
        </is>
      </c>
      <c r="E47" t="inlineStr">
        <is>
          <t>Not recorded</t>
        </is>
      </c>
      <c r="G47" t="inlineStr">
        <is>
          <t>Candidate</t>
        </is>
      </c>
      <c r="H47" t="inlineStr">
        <is>
          <t>MUST-HAVE</t>
        </is>
      </c>
      <c r="I47" t="inlineStr">
        <is>
          <t>Derived from features</t>
        </is>
      </c>
      <c r="K47" t="inlineStr">
        <is>
          <t>Built and tested</t>
        </is>
      </c>
      <c r="L47" t="inlineStr">
        <is>
          <t>Built and tested</t>
        </is>
      </c>
      <c r="M47" t="inlineStr">
        <is>
          <t>One target, one active block per target; visibility function tests. Row-level security is the security phase</t>
        </is>
      </c>
      <c r="N47" t="inlineStr">
        <is>
          <t>block_entry, candidate_is_blocked_for()</t>
        </is>
      </c>
    </row>
    <row r="48">
      <c r="A48" t="inlineStr">
        <is>
          <t>FR-A09</t>
        </is>
      </c>
      <c r="B48" t="inlineStr">
        <is>
          <t>FDS-01</t>
        </is>
      </c>
      <c r="C48" t="inlineStr">
        <is>
          <t>Administration</t>
        </is>
      </c>
      <c r="D48" t="inlineStr">
        <is>
          <t>Every message to or from the nine outside systems is logged with a hash of the body, never the body.</t>
        </is>
      </c>
      <c r="E48" t="inlineStr">
        <is>
          <t>Not recorded</t>
        </is>
      </c>
      <c r="G48" t="inlineStr">
        <is>
          <t>Integration service</t>
        </is>
      </c>
      <c r="H48" t="inlineStr">
        <is>
          <t>MUST-HAVE</t>
        </is>
      </c>
      <c r="I48" t="inlineStr">
        <is>
          <t>Derived from features</t>
        </is>
      </c>
      <c r="K48" t="inlineStr">
        <is>
          <t>Built and tested</t>
        </is>
      </c>
      <c r="L48" t="inlineStr">
        <is>
          <t>Built and tested</t>
        </is>
      </c>
      <c r="M48" t="inlineStr">
        <is>
          <t>Direction and hash checks; the log never refuses a repeat</t>
        </is>
      </c>
      <c r="N48" t="inlineStr">
        <is>
          <t>integration_exchange</t>
        </is>
      </c>
    </row>
    <row r="49">
      <c r="A49" t="inlineStr">
        <is>
          <t>FR-A10</t>
        </is>
      </c>
      <c r="B49" t="inlineStr">
        <is>
          <t>FDS-01</t>
        </is>
      </c>
      <c r="C49" t="inlineStr">
        <is>
          <t>Administration</t>
        </is>
      </c>
      <c r="D49" t="inlineStr">
        <is>
          <t>Erasing a candidate also scrubs the account: sign-in details, credentials, tokens, addresses and device details, keeping consent and audit history.</t>
        </is>
      </c>
      <c r="E49" t="inlineStr">
        <is>
          <t>Not recorded</t>
        </is>
      </c>
      <c r="G49" t="inlineStr">
        <is>
          <t>Compliance and privacy officer</t>
        </is>
      </c>
      <c r="H49" t="inlineStr">
        <is>
          <t>MUST-HAVE</t>
        </is>
      </c>
      <c r="I49" t="inlineStr">
        <is>
          <t>Derived from features</t>
        </is>
      </c>
      <c r="K49" t="inlineStr">
        <is>
          <t>Built and tested</t>
        </is>
      </c>
      <c r="L49" t="inlineStr">
        <is>
          <t>Built and tested</t>
        </is>
      </c>
      <c r="M49" t="inlineStr">
        <is>
          <t>Account erasure test</t>
        </is>
      </c>
      <c r="N49" t="inlineStr">
        <is>
          <t>erase_candidate()</t>
        </is>
      </c>
    </row>
    <row r="50">
      <c r="A50" t="inlineStr">
        <is>
          <t>FR-O01</t>
        </is>
      </c>
      <c r="B50" t="inlineStr">
        <is>
          <t>FDS-01</t>
        </is>
      </c>
      <c r="C50" t="inlineStr">
        <is>
          <t>Organisation</t>
        </is>
      </c>
      <c r="D50" t="inlineStr">
        <is>
          <t>An organisation (employer, staffing agency, consultancy, institution) has a type, a status and an optional parent, and a group can never loop back on itself.</t>
        </is>
      </c>
      <c r="E50" t="inlineStr">
        <is>
          <t>Not recorded</t>
        </is>
      </c>
      <c r="G50" t="inlineStr">
        <is>
          <t>Organisation administrator</t>
        </is>
      </c>
      <c r="H50" t="inlineStr">
        <is>
          <t>SHOULD-HAVE</t>
        </is>
      </c>
      <c r="I50" t="inlineStr">
        <is>
          <t>Derived from features</t>
        </is>
      </c>
      <c r="K50" t="inlineStr">
        <is>
          <t>Built and tested</t>
        </is>
      </c>
      <c r="L50" t="inlineStr">
        <is>
          <t>Built and tested</t>
        </is>
      </c>
      <c r="M50" t="inlineStr">
        <is>
          <t>Hierarchy trigger; name, website and founded-year checks</t>
        </is>
      </c>
      <c r="N50" t="inlineStr">
        <is>
          <t>organisation</t>
        </is>
      </c>
    </row>
    <row r="51">
      <c r="A51" t="inlineStr">
        <is>
          <t>FR-O02</t>
        </is>
      </c>
      <c r="B51" t="inlineStr">
        <is>
          <t>FDS-01</t>
        </is>
      </c>
      <c r="C51" t="inlineStr">
        <is>
          <t>Organisation</t>
        </is>
      </c>
      <c r="D51" t="inlineStr">
        <is>
          <t>An organisation has locations, at most one head office, with optional coordinates.</t>
        </is>
      </c>
      <c r="E51" t="inlineStr">
        <is>
          <t>Not recorded</t>
        </is>
      </c>
      <c r="G51" t="inlineStr">
        <is>
          <t>Organisation administrator</t>
        </is>
      </c>
      <c r="H51" t="inlineStr">
        <is>
          <t>SHOULD-HAVE</t>
        </is>
      </c>
      <c r="I51" t="inlineStr">
        <is>
          <t>Derived from features</t>
        </is>
      </c>
      <c r="K51" t="inlineStr">
        <is>
          <t>Built and tested</t>
        </is>
      </c>
      <c r="L51" t="inlineStr">
        <is>
          <t>Built and tested</t>
        </is>
      </c>
      <c r="M51" t="inlineStr">
        <is>
          <t>Unique head office rule; coordinate checks</t>
        </is>
      </c>
      <c r="N51" t="inlineStr">
        <is>
          <t>organisation_location</t>
        </is>
      </c>
    </row>
    <row r="52">
      <c r="A52" t="inlineStr">
        <is>
          <t>FR-O03</t>
        </is>
      </c>
      <c r="B52" t="inlineStr">
        <is>
          <t>FDS-01</t>
        </is>
      </c>
      <c r="C52" t="inlineStr">
        <is>
          <t>Organisation</t>
        </is>
      </c>
      <c r="D52" t="inlineStr">
        <is>
          <t>Registration and tax numbers are kept apart as Sensitive data, with country and type, and each type states the format the number must match.</t>
        </is>
      </c>
      <c r="E52" t="inlineStr">
        <is>
          <t>Not recorded</t>
        </is>
      </c>
      <c r="G52" t="inlineStr">
        <is>
          <t>Organisation administrator</t>
        </is>
      </c>
      <c r="H52" t="inlineStr">
        <is>
          <t>SHOULD-HAVE</t>
        </is>
      </c>
      <c r="I52" t="inlineStr">
        <is>
          <t>Derived from features</t>
        </is>
      </c>
      <c r="K52" t="inlineStr">
        <is>
          <t>Built and tested</t>
        </is>
      </c>
      <c r="L52" t="inlineStr">
        <is>
          <t>Built and tested</t>
        </is>
      </c>
      <c r="M52" t="inlineStr">
        <is>
          <t>Pattern trigger; unique per type and country</t>
        </is>
      </c>
      <c r="N52" t="inlineStr">
        <is>
          <t>organisation_identifier, organisation_identifier_type</t>
        </is>
      </c>
    </row>
    <row r="53">
      <c r="A53" t="inlineStr">
        <is>
          <t>FR-O04</t>
        </is>
      </c>
      <c r="B53" t="inlineStr">
        <is>
          <t>FDS-01</t>
        </is>
      </c>
      <c r="C53" t="inlineStr">
        <is>
          <t>Organisation</t>
        </is>
      </c>
      <c r="D53" t="inlineStr">
        <is>
          <t>Verification of an organisation is an append-only history; a repeated provider event adds no second row.</t>
        </is>
      </c>
      <c r="E53" t="inlineStr">
        <is>
          <t>Not recorded</t>
        </is>
      </c>
      <c r="G53" t="inlineStr">
        <is>
          <t>Organisation administrator</t>
        </is>
      </c>
      <c r="H53" t="inlineStr">
        <is>
          <t>SHOULD-HAVE</t>
        </is>
      </c>
      <c r="I53" t="inlineStr">
        <is>
          <t>Derived from features</t>
        </is>
      </c>
      <c r="K53" t="inlineStr">
        <is>
          <t>Built and tested</t>
        </is>
      </c>
      <c r="L53" t="inlineStr">
        <is>
          <t>Built and tested</t>
        </is>
      </c>
      <c r="M53" t="inlineStr">
        <is>
          <t>Append-only guard; unique provider reference</t>
        </is>
      </c>
      <c r="N53" t="inlineStr">
        <is>
          <t>organisation_verification</t>
        </is>
      </c>
    </row>
    <row r="54">
      <c r="A54" t="inlineStr">
        <is>
          <t>FR-O05</t>
        </is>
      </c>
      <c r="B54" t="inlineStr">
        <is>
          <t>FDS-01</t>
        </is>
      </c>
      <c r="C54" t="inlineStr">
        <is>
          <t>Organisation</t>
        </is>
      </c>
      <c r="D54" t="inlineStr">
        <is>
          <t>A recruiter belongs to an organisation for a period, and the database refuses a recruiter on a job of an organisation they do not belong to.</t>
        </is>
      </c>
      <c r="E54" t="inlineStr">
        <is>
          <t>Not recorded</t>
        </is>
      </c>
      <c r="G54" t="inlineStr">
        <is>
          <t>Organisation administrator</t>
        </is>
      </c>
      <c r="H54" t="inlineStr">
        <is>
          <t>SHOULD-HAVE</t>
        </is>
      </c>
      <c r="I54" t="inlineStr">
        <is>
          <t>Derived from features</t>
        </is>
      </c>
      <c r="K54" t="inlineStr">
        <is>
          <t>Built and tested</t>
        </is>
      </c>
      <c r="L54" t="inlineStr">
        <is>
          <t>Built and tested</t>
        </is>
      </c>
      <c r="M54" t="inlineStr">
        <is>
          <t>Exclusion constraint on overlapping membership; membership trigger on the job recruiter</t>
        </is>
      </c>
      <c r="N54" t="inlineStr">
        <is>
          <t>organisation_recruiter, job_requirement_recruiter</t>
        </is>
      </c>
    </row>
    <row r="55">
      <c r="A55" t="inlineStr">
        <is>
          <t>FR-O06</t>
        </is>
      </c>
      <c r="B55" t="inlineStr">
        <is>
          <t>FDS-01</t>
        </is>
      </c>
      <c r="C55" t="inlineStr">
        <is>
          <t>Organisation</t>
        </is>
      </c>
      <c r="D55" t="inlineStr">
        <is>
          <t>A staffing agency posts for a client only through an active link, and only an organisation of type staffing agency can be the agency.</t>
        </is>
      </c>
      <c r="E55" t="inlineStr">
        <is>
          <t>Not recorded</t>
        </is>
      </c>
      <c r="G55" t="inlineStr">
        <is>
          <t>Recruiter</t>
        </is>
      </c>
      <c r="H55" t="inlineStr">
        <is>
          <t>SHOULD-HAVE</t>
        </is>
      </c>
      <c r="I55" t="inlineStr">
        <is>
          <t>Derived from features</t>
        </is>
      </c>
      <c r="K55" t="inlineStr">
        <is>
          <t>Built and tested</t>
        </is>
      </c>
      <c r="L55" t="inlineStr">
        <is>
          <t>Built and tested</t>
        </is>
      </c>
      <c r="M55" t="inlineStr">
        <is>
          <t>Exclusion constraint; posting trigger</t>
        </is>
      </c>
      <c r="N55" t="inlineStr">
        <is>
          <t>organisation_agency_link, job_requirement</t>
        </is>
      </c>
    </row>
    <row r="56">
      <c r="A56" t="inlineStr">
        <is>
          <t>FR-O07</t>
        </is>
      </c>
      <c r="B56" t="inlineStr">
        <is>
          <t>FDS-01</t>
        </is>
      </c>
      <c r="C56" t="inlineStr">
        <is>
          <t>Organisation</t>
        </is>
      </c>
      <c r="D56" t="inlineStr">
        <is>
          <t>An email domain belongs to one active organisation, for matching recruiter addresses.</t>
        </is>
      </c>
      <c r="E56" t="inlineStr">
        <is>
          <t>Not recorded</t>
        </is>
      </c>
      <c r="G56" t="inlineStr">
        <is>
          <t>Organisation administrator</t>
        </is>
      </c>
      <c r="H56" t="inlineStr">
        <is>
          <t>SHOULD-HAVE</t>
        </is>
      </c>
      <c r="I56" t="inlineStr">
        <is>
          <t>Derived from features</t>
        </is>
      </c>
      <c r="K56" t="inlineStr">
        <is>
          <t>Built and tested</t>
        </is>
      </c>
      <c r="L56" t="inlineStr">
        <is>
          <t>Built and tested</t>
        </is>
      </c>
      <c r="M56" t="inlineStr">
        <is>
          <t>Unique among active rows; domain shape check</t>
        </is>
      </c>
      <c r="N56" t="inlineStr">
        <is>
          <t>organisation_email_domain</t>
        </is>
      </c>
    </row>
    <row r="57">
      <c r="A57" t="inlineStr">
        <is>
          <t>FR-G01</t>
        </is>
      </c>
      <c r="B57" t="inlineStr">
        <is>
          <t>FDS-01</t>
        </is>
      </c>
      <c r="C57" t="inlineStr">
        <is>
          <t>Gig marketplace</t>
        </is>
      </c>
      <c r="D57" t="inlineStr">
        <is>
          <t>A gig worker has a profile with skills, a rate in a listed currency, and availability windows that cannot overlap.</t>
        </is>
      </c>
      <c r="E57" t="inlineStr">
        <is>
          <t>Not recorded</t>
        </is>
      </c>
      <c r="G57" t="inlineStr">
        <is>
          <t>Gig worker</t>
        </is>
      </c>
      <c r="H57" t="inlineStr">
        <is>
          <t>DIFFERENTIATOR</t>
        </is>
      </c>
      <c r="I57" t="inlineStr">
        <is>
          <t>Derived from features</t>
        </is>
      </c>
      <c r="K57" t="inlineStr">
        <is>
          <t>Built and tested</t>
        </is>
      </c>
      <c r="L57" t="inlineStr">
        <is>
          <t>Built and tested</t>
        </is>
      </c>
      <c r="M57" t="inlineStr">
        <is>
          <t>Exclusion constraint on availability; rate and currency pair</t>
        </is>
      </c>
      <c r="N57" t="inlineStr">
        <is>
          <t>gig_worker_profile, gig_worker_skill, gig_worker_availability</t>
        </is>
      </c>
    </row>
    <row r="58">
      <c r="A58" t="inlineStr">
        <is>
          <t>FR-G02</t>
        </is>
      </c>
      <c r="B58" t="inlineStr">
        <is>
          <t>FDS-01</t>
        </is>
      </c>
      <c r="C58" t="inlineStr">
        <is>
          <t>Gig marketplace</t>
        </is>
      </c>
      <c r="D58" t="inlineStr">
        <is>
          <t>A gig request has a window, a place or remote work, a price with currency and a headcount, and the skills it needs.</t>
        </is>
      </c>
      <c r="E58" t="inlineStr">
        <is>
          <t>Not recorded</t>
        </is>
      </c>
      <c r="G58" t="inlineStr">
        <is>
          <t>Gig worker</t>
        </is>
      </c>
      <c r="H58" t="inlineStr">
        <is>
          <t>DIFFERENTIATOR</t>
        </is>
      </c>
      <c r="I58" t="inlineStr">
        <is>
          <t>Derived from features</t>
        </is>
      </c>
      <c r="K58" t="inlineStr">
        <is>
          <t>Built and tested</t>
        </is>
      </c>
      <c r="L58" t="inlineStr">
        <is>
          <t>Built and tested</t>
        </is>
      </c>
      <c r="M58" t="inlineStr">
        <is>
          <t>Window, place, price and headcount checks</t>
        </is>
      </c>
      <c r="N58" t="inlineStr">
        <is>
          <t>gig_request, gig_request_skill</t>
        </is>
      </c>
    </row>
    <row r="59">
      <c r="A59" t="inlineStr">
        <is>
          <t>FR-G03</t>
        </is>
      </c>
      <c r="B59" t="inlineStr">
        <is>
          <t>FDS-01</t>
        </is>
      </c>
      <c r="C59" t="inlineStr">
        <is>
          <t>Gig marketplace</t>
        </is>
      </c>
      <c r="D59" t="inlineStr">
        <is>
          <t>A worker bids once on a request; bids go one way, worker to request.</t>
        </is>
      </c>
      <c r="E59" t="inlineStr">
        <is>
          <t>Not recorded</t>
        </is>
      </c>
      <c r="G59" t="inlineStr">
        <is>
          <t>Gig worker</t>
        </is>
      </c>
      <c r="H59" t="inlineStr">
        <is>
          <t>DIFFERENTIATOR</t>
        </is>
      </c>
      <c r="I59" t="inlineStr">
        <is>
          <t>Derived from features</t>
        </is>
      </c>
      <c r="K59" t="inlineStr">
        <is>
          <t>Built and tested</t>
        </is>
      </c>
      <c r="L59" t="inlineStr">
        <is>
          <t>Built and tested</t>
        </is>
      </c>
      <c r="M59" t="inlineStr">
        <is>
          <t>One active bid per worker and request</t>
        </is>
      </c>
      <c r="N59" t="inlineStr">
        <is>
          <t>gig_bid</t>
        </is>
      </c>
    </row>
    <row r="60">
      <c r="A60" t="inlineStr">
        <is>
          <t>FR-G04</t>
        </is>
      </c>
      <c r="B60" t="inlineStr">
        <is>
          <t>FDS-01</t>
        </is>
      </c>
      <c r="C60" t="inlineStr">
        <is>
          <t>Gig marketplace</t>
        </is>
      </c>
      <c r="D60" t="inlineStr">
        <is>
          <t>A worker cannot hold two assignments with overlapping windows; a cancelled assignment frees its window (card B35).</t>
        </is>
      </c>
      <c r="E60" t="inlineStr">
        <is>
          <t>Not recorded</t>
        </is>
      </c>
      <c r="G60" t="inlineStr">
        <is>
          <t>Gig worker</t>
        </is>
      </c>
      <c r="H60" t="inlineStr">
        <is>
          <t>MUST-HAVE</t>
        </is>
      </c>
      <c r="I60" t="inlineStr">
        <is>
          <t>Derived from features</t>
        </is>
      </c>
      <c r="K60" t="inlineStr">
        <is>
          <t>Built and tested</t>
        </is>
      </c>
      <c r="L60" t="inlineStr">
        <is>
          <t>Built and tested</t>
        </is>
      </c>
      <c r="M60" t="inlineStr">
        <is>
          <t>Exclusion constraint on worker and window while not cancelled</t>
        </is>
      </c>
      <c r="N60" t="inlineStr">
        <is>
          <t>gig_assignment</t>
        </is>
      </c>
    </row>
    <row r="61">
      <c r="A61" t="inlineStr">
        <is>
          <t>FR-G05</t>
        </is>
      </c>
      <c r="B61" t="inlineStr">
        <is>
          <t>FDS-01</t>
        </is>
      </c>
      <c r="C61" t="inlineStr">
        <is>
          <t>Gig marketplace</t>
        </is>
      </c>
      <c r="D61" t="inlineStr">
        <is>
          <t>An assignment lies inside its request window and cannot exceed the headcount, even when two are made at once.</t>
        </is>
      </c>
      <c r="E61" t="inlineStr">
        <is>
          <t>Not recorded</t>
        </is>
      </c>
      <c r="G61" t="inlineStr">
        <is>
          <t>Gig worker</t>
        </is>
      </c>
      <c r="H61" t="inlineStr">
        <is>
          <t>DIFFERENTIATOR</t>
        </is>
      </c>
      <c r="I61" t="inlineStr">
        <is>
          <t>Derived from features</t>
        </is>
      </c>
      <c r="K61" t="inlineStr">
        <is>
          <t>Built and tested</t>
        </is>
      </c>
      <c r="L61" t="inlineStr">
        <is>
          <t>Built and tested</t>
        </is>
      </c>
      <c r="M61" t="inlineStr">
        <is>
          <t>Fit trigger with a row lock on the request</t>
        </is>
      </c>
      <c r="N61" t="inlineStr">
        <is>
          <t>gig_assignment, gig_request</t>
        </is>
      </c>
    </row>
    <row r="62">
      <c r="A62" t="inlineStr">
        <is>
          <t>FR-G06</t>
        </is>
      </c>
      <c r="B62" t="inlineStr">
        <is>
          <t>FDS-01</t>
        </is>
      </c>
      <c r="C62" t="inlineStr">
        <is>
          <t>Gig marketplace</t>
        </is>
      </c>
      <c r="D62" t="inlineStr">
        <is>
          <t>An assignment keeps its current status and an append-only history, and the allowed changes are a table.</t>
        </is>
      </c>
      <c r="E62" t="inlineStr">
        <is>
          <t>Not recorded</t>
        </is>
      </c>
      <c r="G62" t="inlineStr">
        <is>
          <t>Gig worker</t>
        </is>
      </c>
      <c r="H62" t="inlineStr">
        <is>
          <t>SHOULD-HAVE</t>
        </is>
      </c>
      <c r="I62" t="inlineStr">
        <is>
          <t>Derived from features</t>
        </is>
      </c>
      <c r="K62" t="inlineStr">
        <is>
          <t>Built and tested</t>
        </is>
      </c>
      <c r="L62" t="inlineStr">
        <is>
          <t>Built and tested</t>
        </is>
      </c>
      <c r="M62" t="inlineStr">
        <is>
          <t>Transition triggers; first-entry rule; migration flag</t>
        </is>
      </c>
      <c r="N62" t="inlineStr">
        <is>
          <t>gig_assignment_status_history, gig_assignment_status_transition</t>
        </is>
      </c>
    </row>
    <row r="63">
      <c r="A63" t="inlineStr">
        <is>
          <t>FR-G07</t>
        </is>
      </c>
      <c r="B63" t="inlineStr">
        <is>
          <t>FDS-01</t>
        </is>
      </c>
      <c r="C63" t="inlineStr">
        <is>
          <t>Gig marketplace</t>
        </is>
      </c>
      <c r="D63" t="inlineStr">
        <is>
          <t>The outside fulfilment system's reference, last reported status and reconciled earnings are stored, never the work itself.</t>
        </is>
      </c>
      <c r="E63" t="inlineStr">
        <is>
          <t>Not recorded</t>
        </is>
      </c>
      <c r="G63" t="inlineStr">
        <is>
          <t>Gig worker</t>
        </is>
      </c>
      <c r="H63" t="inlineStr">
        <is>
          <t>DIFFERENTIATOR</t>
        </is>
      </c>
      <c r="I63" t="inlineStr">
        <is>
          <t>Derived from features</t>
        </is>
      </c>
      <c r="K63" t="inlineStr">
        <is>
          <t>Built and tested</t>
        </is>
      </c>
      <c r="L63" t="inlineStr">
        <is>
          <t>Built and tested</t>
        </is>
      </c>
      <c r="M63" t="inlineStr">
        <is>
          <t>Unique per assignment and reference; earnings and currency pair</t>
        </is>
      </c>
      <c r="N63" t="inlineStr">
        <is>
          <t>gig_fulfilment_reference</t>
        </is>
      </c>
    </row>
    <row r="64">
      <c r="A64" t="inlineStr">
        <is>
          <t>FR-G08</t>
        </is>
      </c>
      <c r="B64" t="inlineStr">
        <is>
          <t>FDS-01</t>
        </is>
      </c>
      <c r="C64" t="inlineStr">
        <is>
          <t>Gig marketplace</t>
        </is>
      </c>
      <c r="D64" t="inlineStr">
        <is>
          <t>The worker and the requester of an assignment can rate each other once, and ratings are append-only.</t>
        </is>
      </c>
      <c r="E64" t="inlineStr">
        <is>
          <t>Not recorded</t>
        </is>
      </c>
      <c r="G64" t="inlineStr">
        <is>
          <t>Gig worker</t>
        </is>
      </c>
      <c r="H64" t="inlineStr">
        <is>
          <t>DIFFERENTIATOR</t>
        </is>
      </c>
      <c r="I64" t="inlineStr">
        <is>
          <t>Derived from features</t>
        </is>
      </c>
      <c r="K64" t="inlineStr">
        <is>
          <t>Built and tested</t>
        </is>
      </c>
      <c r="L64" t="inlineStr">
        <is>
          <t>Built and tested</t>
        </is>
      </c>
      <c r="M64" t="inlineStr">
        <is>
          <t>Parties trigger; unique per rater and assignment; append-only guard</t>
        </is>
      </c>
      <c r="N64" t="inlineStr">
        <is>
          <t>gig_rating</t>
        </is>
      </c>
    </row>
    <row r="65">
      <c r="A65" t="inlineStr">
        <is>
          <t>FR-G09</t>
        </is>
      </c>
      <c r="B65" t="inlineStr">
        <is>
          <t>FDS-01</t>
        </is>
      </c>
      <c r="C65" t="inlineStr">
        <is>
          <t>Gig marketplace</t>
        </is>
      </c>
      <c r="D65" t="inlineStr">
        <is>
          <t>A requester keeps lists of workers, such as favourites.</t>
        </is>
      </c>
      <c r="E65" t="inlineStr">
        <is>
          <t>Not recorded</t>
        </is>
      </c>
      <c r="G65" t="inlineStr">
        <is>
          <t>Gig worker</t>
        </is>
      </c>
      <c r="H65" t="inlineStr">
        <is>
          <t>DIFFERENTIATOR</t>
        </is>
      </c>
      <c r="I65" t="inlineStr">
        <is>
          <t>Derived from features</t>
        </is>
      </c>
      <c r="K65" t="inlineStr">
        <is>
          <t>Built and tested</t>
        </is>
      </c>
      <c r="L65" t="inlineStr">
        <is>
          <t>Built and tested</t>
        </is>
      </c>
      <c r="M65" t="inlineStr">
        <is>
          <t>Unique list name per owner; unique worker per list</t>
        </is>
      </c>
      <c r="N65" t="inlineStr">
        <is>
          <t>gig_worker_list, gig_worker_list_entry</t>
        </is>
      </c>
    </row>
    <row r="66">
      <c r="A66" t="inlineStr">
        <is>
          <t>FR-L01</t>
        </is>
      </c>
      <c r="B66" t="inlineStr">
        <is>
          <t>FDS-01</t>
        </is>
      </c>
      <c r="C66" t="inlineStr">
        <is>
          <t>Licences</t>
        </is>
      </c>
      <c r="D66" t="inlineStr">
        <is>
          <t>A licence belongs to one organisation, has explicit limits (users, devices per user, sessions per user, all positive) and a term; an organisation has one live term at a time.</t>
        </is>
      </c>
      <c r="E66" t="inlineStr">
        <is>
          <t>Not recorded</t>
        </is>
      </c>
      <c r="G66" t="inlineStr">
        <is>
          <t>Organisation administrator</t>
        </is>
      </c>
      <c r="H66" t="inlineStr">
        <is>
          <t>MUST-HAVE</t>
        </is>
      </c>
      <c r="I66" t="inlineStr">
        <is>
          <t>Derived from features</t>
        </is>
      </c>
      <c r="K66" t="inlineStr">
        <is>
          <t>Built and tested</t>
        </is>
      </c>
      <c r="L66" t="inlineStr">
        <is>
          <t>Built and tested</t>
        </is>
      </c>
      <c r="M66" t="inlineStr">
        <is>
          <t>Check rules on the limits; exclusion constraint on the term</t>
        </is>
      </c>
      <c r="N66" t="inlineStr">
        <is>
          <t>licence</t>
        </is>
      </c>
    </row>
    <row r="67">
      <c r="A67" t="inlineStr">
        <is>
          <t>FR-L02</t>
        </is>
      </c>
      <c r="B67" t="inlineStr">
        <is>
          <t>FDS-01</t>
        </is>
      </c>
      <c r="C67" t="inlineStr">
        <is>
          <t>Licences</t>
        </is>
      </c>
      <c r="D67" t="inlineStr">
        <is>
          <t>A user holds a seat for a period; seats cannot pass the licence's user limit, even when two are given at once, and only members of the organisation get one.</t>
        </is>
      </c>
      <c r="E67" t="inlineStr">
        <is>
          <t>Not recorded</t>
        </is>
      </c>
      <c r="G67" t="inlineStr">
        <is>
          <t>Organisation administrator</t>
        </is>
      </c>
      <c r="H67" t="inlineStr">
        <is>
          <t>MUST-HAVE</t>
        </is>
      </c>
      <c r="I67" t="inlineStr">
        <is>
          <t>Derived from features</t>
        </is>
      </c>
      <c r="K67" t="inlineStr">
        <is>
          <t>Built and tested</t>
        </is>
      </c>
      <c r="L67" t="inlineStr">
        <is>
          <t>Built and tested</t>
        </is>
      </c>
      <c r="M67" t="inlineStr">
        <is>
          <t>Trigger with the licence row locked; exclusion constraint on seat periods</t>
        </is>
      </c>
      <c r="N67" t="inlineStr">
        <is>
          <t>licence_seat</t>
        </is>
      </c>
    </row>
    <row r="68">
      <c r="A68" t="inlineStr">
        <is>
          <t>FR-L03</t>
        </is>
      </c>
      <c r="B68" t="inlineStr">
        <is>
          <t>FDS-01</t>
        </is>
      </c>
      <c r="C68" t="inlineStr">
        <is>
          <t>Licences</t>
        </is>
      </c>
      <c r="D68" t="inlineStr">
        <is>
          <t>A user registers devices under a licence up to the device limit; a revoked device is recorded with who and why and stays revoked.</t>
        </is>
      </c>
      <c r="E68" t="inlineStr">
        <is>
          <t>Not recorded</t>
        </is>
      </c>
      <c r="G68" t="inlineStr">
        <is>
          <t>Organisation administrator</t>
        </is>
      </c>
      <c r="H68" t="inlineStr">
        <is>
          <t>SHOULD-HAVE</t>
        </is>
      </c>
      <c r="I68" t="inlineStr">
        <is>
          <t>Derived from features</t>
        </is>
      </c>
      <c r="K68" t="inlineStr">
        <is>
          <t>Built and tested</t>
        </is>
      </c>
      <c r="L68" t="inlineStr">
        <is>
          <t>Built and tested</t>
        </is>
      </c>
      <c r="M68" t="inlineStr">
        <is>
          <t>Trigger on the limit; unique live device; revoke pair check; guard on a revoked row</t>
        </is>
      </c>
      <c r="N68" t="inlineStr">
        <is>
          <t>licence_device</t>
        </is>
      </c>
    </row>
    <row r="69">
      <c r="A69" t="inlineStr">
        <is>
          <t>FR-L04</t>
        </is>
      </c>
      <c r="B69" t="inlineStr">
        <is>
          <t>FDS-01</t>
        </is>
      </c>
      <c r="C69" t="inlineStr">
        <is>
          <t>Licences</t>
        </is>
      </c>
      <c r="D69" t="inlineStr">
        <is>
          <t>A user cannot hold more live sessions than the licence allows, and the limits hold under direct inserts and parallel sign-ins.</t>
        </is>
      </c>
      <c r="E69" t="inlineStr">
        <is>
          <t>Not recorded</t>
        </is>
      </c>
      <c r="G69" t="inlineStr">
        <is>
          <t>Organisation administrator</t>
        </is>
      </c>
      <c r="H69" t="inlineStr">
        <is>
          <t>MUST-HAVE</t>
        </is>
      </c>
      <c r="I69" t="inlineStr">
        <is>
          <t>Derived from features</t>
        </is>
      </c>
      <c r="K69" t="inlineStr">
        <is>
          <t>Built and tested</t>
        </is>
      </c>
      <c r="L69" t="inlineStr">
        <is>
          <t>Built and tested</t>
        </is>
      </c>
      <c r="M69" t="inlineStr">
        <is>
          <t>Trigger with fixed row lock order; eight parallel admissions at a limit of two admitted two (checked by hand)</t>
        </is>
      </c>
      <c r="N69" t="inlineStr">
        <is>
          <t>licence_active_session, licence_admit_session()</t>
        </is>
      </c>
    </row>
    <row r="70">
      <c r="A70" t="inlineStr">
        <is>
          <t>FR-L05</t>
        </is>
      </c>
      <c r="B70" t="inlineStr">
        <is>
          <t>FDS-01</t>
        </is>
      </c>
      <c r="C70" t="inlineStr">
        <is>
          <t>Licences</t>
        </is>
      </c>
      <c r="D70" t="inlineStr">
        <is>
          <t>A refused sign-in is recorded in the audit trail with the reason, and a refusal never registers a device.</t>
        </is>
      </c>
      <c r="E70" t="inlineStr">
        <is>
          <t>Not recorded</t>
        </is>
      </c>
      <c r="G70" t="inlineStr">
        <is>
          <t>Organisation administrator</t>
        </is>
      </c>
      <c r="H70" t="inlineStr">
        <is>
          <t>MUST-HAVE</t>
        </is>
      </c>
      <c r="I70" t="inlineStr">
        <is>
          <t>Derived from features</t>
        </is>
      </c>
      <c r="K70" t="inlineStr">
        <is>
          <t>Built and tested</t>
        </is>
      </c>
      <c r="L70" t="inlineStr">
        <is>
          <t>Built and tested</t>
        </is>
      </c>
      <c r="M70" t="inlineStr">
        <is>
          <t>Outcome returned, not raised, so the audit row survives</t>
        </is>
      </c>
      <c r="N70" t="inlineStr">
        <is>
          <t>audit_event, licence_admit_session()</t>
        </is>
      </c>
    </row>
    <row r="71">
      <c r="A71" t="inlineStr">
        <is>
          <t>FR-L06</t>
        </is>
      </c>
      <c r="B71" t="inlineStr">
        <is>
          <t>FDS-01</t>
        </is>
      </c>
      <c r="C71" t="inlineStr">
        <is>
          <t>Licences</t>
        </is>
      </c>
      <c r="D71" t="inlineStr">
        <is>
          <t>Sessions keep device, start, last activity and end; finished sessions are kept 90 days by month; expired and revoked sessions are not counted.</t>
        </is>
      </c>
      <c r="E71" t="inlineStr">
        <is>
          <t>Not recorded</t>
        </is>
      </c>
      <c r="G71" t="inlineStr">
        <is>
          <t>Organisation administrator</t>
        </is>
      </c>
      <c r="H71" t="inlineStr">
        <is>
          <t>SHOULD-HAVE</t>
        </is>
      </c>
      <c r="I71" t="inlineStr">
        <is>
          <t>Derived from features</t>
        </is>
      </c>
      <c r="K71" t="inlineStr">
        <is>
          <t>Built and tested</t>
        </is>
      </c>
      <c r="L71" t="inlineStr">
        <is>
          <t>Built and tested</t>
        </is>
      </c>
      <c r="M71" t="inlineStr">
        <is>
          <t>Append-only history, monthly partitions, sweep function</t>
        </is>
      </c>
      <c r="N71" t="inlineStr">
        <is>
          <t>licence_session_history, licence_active_session</t>
        </is>
      </c>
    </row>
    <row r="72">
      <c r="A72" t="inlineStr">
        <is>
          <t>FR-L07</t>
        </is>
      </c>
      <c r="B72" t="inlineStr">
        <is>
          <t>FDS-01</t>
        </is>
      </c>
      <c r="C72" t="inlineStr">
        <is>
          <t>Licences</t>
        </is>
      </c>
      <c r="D72" t="inlineStr">
        <is>
          <t>Revoking a device or a session is audited, and ending a seat, a membership or a licence ends what depended on it.</t>
        </is>
      </c>
      <c r="E72" t="inlineStr">
        <is>
          <t>Not recorded</t>
        </is>
      </c>
      <c r="G72" t="inlineStr">
        <is>
          <t>Organisation administrator</t>
        </is>
      </c>
      <c r="H72" t="inlineStr">
        <is>
          <t>SHOULD-HAVE</t>
        </is>
      </c>
      <c r="I72" t="inlineStr">
        <is>
          <t>Derived from features</t>
        </is>
      </c>
      <c r="K72" t="inlineStr">
        <is>
          <t>Built and tested</t>
        </is>
      </c>
      <c r="L72" t="inlineStr">
        <is>
          <t>Built and tested</t>
        </is>
      </c>
      <c r="M72" t="inlineStr">
        <is>
          <t>Cascade triggers; audit rows for device_revoked and session_revoked</t>
        </is>
      </c>
      <c r="N72" t="inlineStr">
        <is>
          <t>licence_device, licence_seat, licence</t>
        </is>
      </c>
    </row>
    <row r="73">
      <c r="A73" t="inlineStr">
        <is>
          <t>FR-L08</t>
        </is>
      </c>
      <c r="B73" t="inlineStr">
        <is>
          <t>FDS-01</t>
        </is>
      </c>
      <c r="C73" t="inlineStr">
        <is>
          <t>Licences</t>
        </is>
      </c>
      <c r="D73" t="inlineStr">
        <is>
          <t>Only the licence functions can end a session or write its history, and only a role with the grant can call them.</t>
        </is>
      </c>
      <c r="E73" t="inlineStr">
        <is>
          <t>Not recorded</t>
        </is>
      </c>
      <c r="G73" t="inlineStr">
        <is>
          <t>Organisation administrator</t>
        </is>
      </c>
      <c r="H73" t="inlineStr">
        <is>
          <t>SHOULD-HAVE</t>
        </is>
      </c>
      <c r="I73" t="inlineStr">
        <is>
          <t>Derived from features</t>
        </is>
      </c>
      <c r="K73" t="inlineStr">
        <is>
          <t>Built and tested</t>
        </is>
      </c>
      <c r="L73" t="inlineStr">
        <is>
          <t>Built and tested</t>
        </is>
      </c>
      <c r="M73" t="inlineStr">
        <is>
          <t>Guard checks the caller; functions closed to PUBLIC; role talentra_licence</t>
        </is>
      </c>
      <c r="N73" t="inlineStr">
        <is>
          <t>licence_end_session(), licence_admit_session(), licence_end_expired()</t>
        </is>
      </c>
    </row>
    <row r="74">
      <c r="A74" t="inlineStr">
        <is>
          <t>FR-X04</t>
        </is>
      </c>
      <c r="B74" t="inlineStr">
        <is>
          <t>FDS-01</t>
        </is>
      </c>
      <c r="C74" t="inlineStr">
        <is>
          <t>Cross module</t>
        </is>
      </c>
      <c r="D74" t="inlineStr">
        <is>
          <t>A person can be erased on request through one entry point: personal text, notes, comments, search text and derived rows are scrubbed or deleted, staff accounts included, and an erased account or profile cannot receive new data.</t>
        </is>
      </c>
      <c r="E74" t="inlineStr">
        <is>
          <t>Not recorded</t>
        </is>
      </c>
      <c r="G74" t="inlineStr">
        <is>
          <t>Compliance and privacy officer</t>
        </is>
      </c>
      <c r="H74" t="inlineStr">
        <is>
          <t>MUST-HAVE</t>
        </is>
      </c>
      <c r="I74" t="inlineStr">
        <is>
          <t>Derived from features</t>
        </is>
      </c>
      <c r="K74" t="inlineStr">
        <is>
          <t>Built and tested</t>
        </is>
      </c>
      <c r="L74" t="inlineStr">
        <is>
          <t>Built and tested</t>
        </is>
      </c>
      <c r="M74" t="inlineStr">
        <is>
          <t>Erasure role and guard; extended scrub; terminal state triggers; 15 hardening tests</t>
        </is>
      </c>
      <c r="N74" t="inlineStr">
        <is>
          <t>erase_account, erase_candidate, erase_gig_worker, erase_account_core</t>
        </is>
      </c>
    </row>
    <row r="75">
      <c r="A75" t="inlineStr">
        <is>
          <t>FR-X05</t>
        </is>
      </c>
      <c r="B75" t="inlineStr">
        <is>
          <t>FDS-01</t>
        </is>
      </c>
      <c r="C75" t="inlineStr">
        <is>
          <t>Cross module</t>
        </is>
      </c>
      <c r="D75" t="inlineStr">
        <is>
          <t>Monthly tables keep a stated retention period; the audit trail is never dropped by the partition function; months past retention are listed.</t>
        </is>
      </c>
      <c r="E75" t="inlineStr">
        <is>
          <t>Not recorded</t>
        </is>
      </c>
      <c r="G75" t="inlineStr">
        <is>
          <t>Platform operator</t>
        </is>
      </c>
      <c r="H75" t="inlineStr">
        <is>
          <t>MUST-HAVE</t>
        </is>
      </c>
      <c r="I75" t="inlineStr">
        <is>
          <t>Derived from features</t>
        </is>
      </c>
      <c r="K75" t="inlineStr">
        <is>
          <t>Built and tested</t>
        </is>
      </c>
      <c r="L75" t="inlineStr">
        <is>
          <t>Built and tested</t>
        </is>
      </c>
      <c r="M75" t="inlineStr">
        <is>
          <t>Retention guard, per table upkeep with warnings</t>
        </is>
      </c>
      <c r="N75" t="inlineStr">
        <is>
          <t>retention_days, partitions_past_retention, drop_month_partition</t>
        </is>
      </c>
    </row>
    <row r="76">
      <c r="A76" t="inlineStr">
        <is>
          <t>FR-X06</t>
        </is>
      </c>
      <c r="B76" t="inlineStr">
        <is>
          <t>FDS-01</t>
        </is>
      </c>
      <c r="C76" t="inlineStr">
        <is>
          <t>Cross module</t>
        </is>
      </c>
      <c r="D76" t="inlineStr">
        <is>
          <t>The database writes audit rows for role grants, permission changes, account status changes, consent and blocks.</t>
        </is>
      </c>
      <c r="E76" t="inlineStr">
        <is>
          <t>Not recorded</t>
        </is>
      </c>
      <c r="G76" t="inlineStr">
        <is>
          <t>Compliance and privacy officer</t>
        </is>
      </c>
      <c r="H76" t="inlineStr">
        <is>
          <t>MUST-HAVE</t>
        </is>
      </c>
      <c r="I76" t="inlineStr">
        <is>
          <t>Derived from features</t>
        </is>
      </c>
      <c r="K76" t="inlineStr">
        <is>
          <t>Built and tested</t>
        </is>
      </c>
      <c r="L76" t="inlineStr">
        <is>
          <t>Built and tested</t>
        </is>
      </c>
      <c r="M76" t="inlineStr">
        <is>
          <t>Definer audit functions owned by a role that only inserts audit rows</t>
        </is>
      </c>
      <c r="N76" t="inlineStr">
        <is>
          <t>audit_event, user_access_role, consent_record, block_entry</t>
        </is>
      </c>
    </row>
    <row r="77">
      <c r="A77" t="inlineStr">
        <is>
          <t>FR-X07</t>
        </is>
      </c>
      <c r="B77" t="inlineStr">
        <is>
          <t>FDS-01</t>
        </is>
      </c>
      <c r="C77" t="inlineStr">
        <is>
          <t>Cross module</t>
        </is>
      </c>
      <c r="D77" t="inlineStr">
        <is>
          <t>Status history for applications and jobs chains, and a withdrawal returns only to the stage before it; mismatches can be listed.</t>
        </is>
      </c>
      <c r="E77" t="inlineStr">
        <is>
          <t>Not recorded</t>
        </is>
      </c>
      <c r="G77" t="inlineStr">
        <is>
          <t>Candidate</t>
        </is>
      </c>
      <c r="H77" t="inlineStr">
        <is>
          <t>MUST-HAVE</t>
        </is>
      </c>
      <c r="I77" t="inlineStr">
        <is>
          <t>Derived from features</t>
        </is>
      </c>
      <c r="K77" t="inlineStr">
        <is>
          <t>Built and tested</t>
        </is>
      </c>
      <c r="L77" t="inlineStr">
        <is>
          <t>Built and tested</t>
        </is>
      </c>
      <c r="M77" t="inlineStr">
        <is>
          <t>History chain triggers; reconciliation functions</t>
        </is>
      </c>
      <c r="N77" t="inlineStr">
        <is>
          <t>application_status_history, job_requirement_status_history</t>
        </is>
      </c>
    </row>
    <row r="78">
      <c r="A78" t="inlineStr">
        <is>
          <t>FR-S01</t>
        </is>
      </c>
      <c r="B78" t="inlineStr">
        <is>
          <t>FDS-01</t>
        </is>
      </c>
      <c r="C78" t="inlineStr">
        <is>
          <t>Subscriptions</t>
        </is>
      </c>
      <c r="D78" t="inlineStr">
        <is>
          <t>A subscription is a period of one licence on a plan; periods of one licence never overlap, a cancelled period stops counting, and the period lies inside the licence term.</t>
        </is>
      </c>
      <c r="E78" t="inlineStr">
        <is>
          <t>Not recorded</t>
        </is>
      </c>
      <c r="G78" t="inlineStr">
        <is>
          <t>Platform operator</t>
        </is>
      </c>
      <c r="H78" t="inlineStr">
        <is>
          <t>MUST-HAVE</t>
        </is>
      </c>
      <c r="I78" t="inlineStr">
        <is>
          <t>Derived from features</t>
        </is>
      </c>
      <c r="K78" t="inlineStr">
        <is>
          <t>Built and tested</t>
        </is>
      </c>
      <c r="L78" t="inlineStr">
        <is>
          <t>Built and tested</t>
        </is>
      </c>
      <c r="M78" t="inlineStr">
        <is>
          <t>Exclusion constraint on licence and period; term trigger; price and credits copied and frozen</t>
        </is>
      </c>
      <c r="N78" t="inlineStr">
        <is>
          <t>subscription, subscription_plan</t>
        </is>
      </c>
    </row>
    <row r="79">
      <c r="A79" t="inlineStr">
        <is>
          <t>FR-S02</t>
        </is>
      </c>
      <c r="B79" t="inlineStr">
        <is>
          <t>FDS-01</t>
        </is>
      </c>
      <c r="C79" t="inlineStr">
        <is>
          <t>Subscriptions</t>
        </is>
      </c>
      <c r="D79" t="inlineStr">
        <is>
          <t>An organisation has one wallet; its balance is a copy kept by the ledger and can be checked against it.</t>
        </is>
      </c>
      <c r="E79" t="inlineStr">
        <is>
          <t>Not recorded</t>
        </is>
      </c>
      <c r="G79" t="inlineStr">
        <is>
          <t>Platform operator</t>
        </is>
      </c>
      <c r="H79" t="inlineStr">
        <is>
          <t>MUST-HAVE</t>
        </is>
      </c>
      <c r="I79" t="inlineStr">
        <is>
          <t>Derived from features</t>
        </is>
      </c>
      <c r="K79" t="inlineStr">
        <is>
          <t>Built and tested</t>
        </is>
      </c>
      <c r="L79" t="inlineStr">
        <is>
          <t>Built and tested</t>
        </is>
      </c>
      <c r="M79" t="inlineStr">
        <is>
          <t>One live wallet per organisation; balance changed by the ledger trigger only; reconciliation function</t>
        </is>
      </c>
      <c r="N79" t="inlineStr">
        <is>
          <t>wallet</t>
        </is>
      </c>
    </row>
    <row r="80">
      <c r="A80" t="inlineStr">
        <is>
          <t>FR-S03</t>
        </is>
      </c>
      <c r="B80" t="inlineStr">
        <is>
          <t>FDS-01</t>
        </is>
      </c>
      <c r="C80" t="inlineStr">
        <is>
          <t>Subscriptions</t>
        </is>
      </c>
      <c r="D80" t="inlineStr">
        <is>
          <t>Credits move only through an append-only ledger: grant, purchase, charges, expiry, adjustment, reversal. A mistake is a new entry, an entry is corrected once, and a charge cannot take the balance below zero.</t>
        </is>
      </c>
      <c r="E80" t="inlineStr">
        <is>
          <t>Not recorded</t>
        </is>
      </c>
      <c r="G80" t="inlineStr">
        <is>
          <t>Recruiter</t>
        </is>
      </c>
      <c r="H80" t="inlineStr">
        <is>
          <t>MUST-HAVE</t>
        </is>
      </c>
      <c r="I80" t="inlineStr">
        <is>
          <t>Derived from features</t>
        </is>
      </c>
      <c r="K80" t="inlineStr">
        <is>
          <t>Built and tested</t>
        </is>
      </c>
      <c r="L80" t="inlineStr">
        <is>
          <t>Built and tested</t>
        </is>
      </c>
      <c r="M80" t="inlineStr">
        <is>
          <t>Sign and link rules per kind; wallet row locked; one correction per entry; audit of adjustments</t>
        </is>
      </c>
      <c r="N80" t="inlineStr">
        <is>
          <t>wallet_ledger_entry</t>
        </is>
      </c>
    </row>
    <row r="81">
      <c r="A81" t="inlineStr">
        <is>
          <t>FR-S04</t>
        </is>
      </c>
      <c r="B81" t="inlineStr">
        <is>
          <t>FDS-01</t>
        </is>
      </c>
      <c r="C81" t="inlineStr">
        <is>
          <t>Subscriptions</t>
        </is>
      </c>
      <c r="D81" t="inlineStr">
        <is>
          <t>Credits can expire, and the unspent part is taken back by a function.</t>
        </is>
      </c>
      <c r="E81" t="inlineStr">
        <is>
          <t>Not recorded</t>
        </is>
      </c>
      <c r="G81" t="inlineStr">
        <is>
          <t>Organisation administrator</t>
        </is>
      </c>
      <c r="H81" t="inlineStr">
        <is>
          <t>SHOULD-HAVE</t>
        </is>
      </c>
      <c r="I81" t="inlineStr">
        <is>
          <t>Derived from features</t>
        </is>
      </c>
      <c r="K81" t="inlineStr">
        <is>
          <t>Built and tested</t>
        </is>
      </c>
      <c r="L81" t="inlineStr">
        <is>
          <t>Built and tested</t>
        </is>
      </c>
      <c r="M81" t="inlineStr">
        <is>
          <t>expires_at on grants and purchases; expiry entry capped by the balance</t>
        </is>
      </c>
      <c r="N81" t="inlineStr">
        <is>
          <t>wallet_ledger_entry, wallet_expire_due()</t>
        </is>
      </c>
    </row>
    <row r="82">
      <c r="A82" t="inlineStr">
        <is>
          <t>FR-S05</t>
        </is>
      </c>
      <c r="B82" t="inlineStr">
        <is>
          <t>FDS-01</t>
        </is>
      </c>
      <c r="C82" t="inlineStr">
        <is>
          <t>Subscriptions</t>
        </is>
      </c>
      <c r="D82" t="inlineStr">
        <is>
          <t>Payments are stored as gateway messages: a repeated message adds nothing, a refund reverses a succeeded charge and all refunds of a charge cannot exceed it, and card or bank data is never stored.</t>
        </is>
      </c>
      <c r="E82" t="inlineStr">
        <is>
          <t>Not recorded</t>
        </is>
      </c>
      <c r="G82" t="inlineStr">
        <is>
          <t>Organisation administrator</t>
        </is>
      </c>
      <c r="H82" t="inlineStr">
        <is>
          <t>SHOULD-HAVE</t>
        </is>
      </c>
      <c r="I82" t="inlineStr">
        <is>
          <t>Derived from features</t>
        </is>
      </c>
      <c r="K82" t="inlineStr">
        <is>
          <t>Built and tested</t>
        </is>
      </c>
      <c r="L82" t="inlineStr">
        <is>
          <t>Built and tested</t>
        </is>
      </c>
      <c r="M82" t="inlineStr">
        <is>
          <t>Unique gateway event reference; charge row locked for refunds; append-only; audit of refunds</t>
        </is>
      </c>
      <c r="N82" t="inlineStr">
        <is>
          <t>payment_event</t>
        </is>
      </c>
    </row>
    <row r="83">
      <c r="A83" t="inlineStr">
        <is>
          <t>FR-S06</t>
        </is>
      </c>
      <c r="B83" t="inlineStr">
        <is>
          <t>FDS-01</t>
        </is>
      </c>
      <c r="C83" t="inlineStr">
        <is>
          <t>Subscriptions</t>
        </is>
      </c>
      <c r="D83" t="inlineStr">
        <is>
          <t>A profile download is recorded with who, which organisation, which candidate, which format and which charge; it is refused for a non-member, a blocked organisation or person, and an erased profile.</t>
        </is>
      </c>
      <c r="E83" t="inlineStr">
        <is>
          <t>Not recorded</t>
        </is>
      </c>
      <c r="G83" t="inlineStr">
        <is>
          <t>Recruiter</t>
        </is>
      </c>
      <c r="H83" t="inlineStr">
        <is>
          <t>SHOULD-HAVE</t>
        </is>
      </c>
      <c r="I83" t="inlineStr">
        <is>
          <t>Derived from features</t>
        </is>
      </c>
      <c r="K83" t="inlineStr">
        <is>
          <t>Built and tested</t>
        </is>
      </c>
      <c r="L83" t="inlineStr">
        <is>
          <t>Built and tested</t>
        </is>
      </c>
      <c r="M83" t="inlineStr">
        <is>
          <t>Download trigger using candidate_is_blocked_for(); monthly partitions kept 12 months</t>
        </is>
      </c>
      <c r="N83" t="inlineStr">
        <is>
          <t>profile_download_event</t>
        </is>
      </c>
    </row>
    <row r="84">
      <c r="A84" t="inlineStr">
        <is>
          <t>FR-S07</t>
        </is>
      </c>
      <c r="B84" t="inlineStr">
        <is>
          <t>FDS-01</t>
        </is>
      </c>
      <c r="C84" t="inlineStr">
        <is>
          <t>Subscriptions</t>
        </is>
      </c>
      <c r="D84" t="inlineStr">
        <is>
          <t>What pays for a profile view or a paid access grant must be a charge of the right wallet.</t>
        </is>
      </c>
      <c r="E84" t="inlineStr">
        <is>
          <t>Not recorded</t>
        </is>
      </c>
      <c r="G84" t="inlineStr">
        <is>
          <t>Recruiter</t>
        </is>
      </c>
      <c r="H84" t="inlineStr">
        <is>
          <t>MUST-HAVE</t>
        </is>
      </c>
      <c r="I84" t="inlineStr">
        <is>
          <t>Derived from features</t>
        </is>
      </c>
      <c r="K84" t="inlineStr">
        <is>
          <t>Built and tested</t>
        </is>
      </c>
      <c r="L84" t="inlineStr">
        <is>
          <t>Built and tested</t>
        </is>
      </c>
      <c r="M84" t="inlineStr">
        <is>
          <t>paid_by_charge trigger</t>
        </is>
      </c>
      <c r="N84" t="inlineStr">
        <is>
          <t>profile_view_event, profile_access_grant, wallet_ledger_entry</t>
        </is>
      </c>
    </row>
    <row r="85">
      <c r="A85" t="inlineStr">
        <is>
          <t>FR-C01</t>
        </is>
      </c>
      <c r="B85" t="inlineStr">
        <is>
          <t>FDS-01</t>
        </is>
      </c>
      <c r="C85" t="inlineStr">
        <is>
          <t>Sourcing</t>
        </is>
      </c>
      <c r="D85" t="inlineStr">
        <is>
          <t>A consultant works a job only through a request, and only for a job that is open, not deleted and open to consultants; the consultant must be an active account that does not belong to the hiring side. One live request per job and consultant.</t>
        </is>
      </c>
      <c r="E85" t="inlineStr">
        <is>
          <t>Not recorded</t>
        </is>
      </c>
      <c r="G85" t="inlineStr">
        <is>
          <t>Consultant</t>
        </is>
      </c>
      <c r="H85" t="inlineStr">
        <is>
          <t>MUST-HAVE</t>
        </is>
      </c>
      <c r="I85" t="inlineStr">
        <is>
          <t>Derived from features</t>
        </is>
      </c>
      <c r="K85" t="inlineStr">
        <is>
          <t>Built and tested</t>
        </is>
      </c>
      <c r="L85" t="inlineStr">
        <is>
          <t>Built and tested</t>
        </is>
      </c>
      <c r="M85" t="inlineStr">
        <is>
          <t>Trigger with the job row read shared; partial unique index on job and consultant while the request is live; ended_at derived</t>
        </is>
      </c>
      <c r="N85" t="inlineStr">
        <is>
          <t>consultant_request</t>
        </is>
      </c>
    </row>
    <row r="86">
      <c r="A86" t="inlineStr">
        <is>
          <t>FR-C02</t>
        </is>
      </c>
      <c r="B86" t="inlineStr">
        <is>
          <t>FDS-01</t>
        </is>
      </c>
      <c r="C86" t="inlineStr">
        <is>
          <t>Sourcing</t>
        </is>
      </c>
      <c r="D86" t="inlineStr">
        <is>
          <t>A request states the fee asked (a percentage of the first-year salary, or a fixed amount in a listed currency); the terms can change while it waits and are frozen at the decision.</t>
        </is>
      </c>
      <c r="E86" t="inlineStr">
        <is>
          <t>Not recorded</t>
        </is>
      </c>
      <c r="G86" t="inlineStr">
        <is>
          <t>Consultant</t>
        </is>
      </c>
      <c r="H86" t="inlineStr">
        <is>
          <t>MUST-HAVE</t>
        </is>
      </c>
      <c r="I86" t="inlineStr">
        <is>
          <t>Derived from features</t>
        </is>
      </c>
      <c r="K86" t="inlineStr">
        <is>
          <t>Built and tested</t>
        </is>
      </c>
      <c r="L86" t="inlineStr">
        <is>
          <t>Built and tested</t>
        </is>
      </c>
      <c r="M86" t="inlineStr">
        <is>
          <t>Fee shape trigger; terms frozen from the decision, also in the approving update</t>
        </is>
      </c>
      <c r="N86" t="inlineStr">
        <is>
          <t>consultant_request, fee_type</t>
        </is>
      </c>
    </row>
    <row r="87">
      <c r="A87" t="inlineStr">
        <is>
          <t>FR-C03</t>
        </is>
      </c>
      <c r="B87" t="inlineStr">
        <is>
          <t>FDS-01</t>
        </is>
      </c>
      <c r="C87" t="inlineStr">
        <is>
          <t>Sourcing</t>
        </is>
      </c>
      <c r="D87" t="inlineStr">
        <is>
          <t>A request changes status only by listed steps (requested to approved, rejected, withdrawn or expired; approved to withdrawn); the history is written by the database and cannot disagree with the current status.</t>
        </is>
      </c>
      <c r="E87" t="inlineStr">
        <is>
          <t>Not recorded</t>
        </is>
      </c>
      <c r="G87" t="inlineStr">
        <is>
          <t>Consultant</t>
        </is>
      </c>
      <c r="H87" t="inlineStr">
        <is>
          <t>MUST-HAVE</t>
        </is>
      </c>
      <c r="I87" t="inlineStr">
        <is>
          <t>Derived from features</t>
        </is>
      </c>
      <c r="K87" t="inlineStr">
        <is>
          <t>Built and tested</t>
        </is>
      </c>
      <c r="L87" t="inlineStr">
        <is>
          <t>Built and tested</t>
        </is>
      </c>
      <c r="M87" t="inlineStr">
        <is>
          <t>Transition table; history written by an AFTER trigger; direct insert refused; mismatch function</t>
        </is>
      </c>
      <c r="N87" t="inlineStr">
        <is>
          <t>consultant_request_status_transition, consultant_request_status_history</t>
        </is>
      </c>
    </row>
    <row r="88">
      <c r="A88" t="inlineStr">
        <is>
          <t>FR-C04</t>
        </is>
      </c>
      <c r="B88" t="inlineStr">
        <is>
          <t>FDS-01</t>
        </is>
      </c>
      <c r="C88" t="inlineStr">
        <is>
          <t>Sourcing</t>
        </is>
      </c>
      <c r="D88" t="inlineStr">
        <is>
          <t>Only a member of the hiring organisation or of the agency that posts the job, and not the consultant, decides a request; approval needs the job still open to consultants; approve and reject are audited.</t>
        </is>
      </c>
      <c r="E88" t="inlineStr">
        <is>
          <t>Not recorded</t>
        </is>
      </c>
      <c r="G88" t="inlineStr">
        <is>
          <t>Consultant</t>
        </is>
      </c>
      <c r="H88" t="inlineStr">
        <is>
          <t>MUST-HAVE</t>
        </is>
      </c>
      <c r="I88" t="inlineStr">
        <is>
          <t>Derived from features</t>
        </is>
      </c>
      <c r="K88" t="inlineStr">
        <is>
          <t>Built and tested</t>
        </is>
      </c>
      <c r="L88" t="inlineStr">
        <is>
          <t>Built and tested</t>
        </is>
      </c>
      <c r="M88" t="inlineStr">
        <is>
          <t>Decider rules in the request trigger; definer audit function owned by the audit role</t>
        </is>
      </c>
      <c r="N88" t="inlineStr">
        <is>
          <t>consultant_request, audit_event</t>
        </is>
      </c>
    </row>
    <row r="89">
      <c r="A89" t="inlineStr">
        <is>
          <t>FR-C05</t>
        </is>
      </c>
      <c r="B89" t="inlineStr">
        <is>
          <t>FDS-01</t>
        </is>
      </c>
      <c r="C89" t="inlineStr">
        <is>
          <t>Sourcing</t>
        </is>
      </c>
      <c r="D89" t="inlineStr">
        <is>
          <t>A request that nobody answers can lapse, and a function moves it to expired with a history row.</t>
        </is>
      </c>
      <c r="E89" t="inlineStr">
        <is>
          <t>Not recorded</t>
        </is>
      </c>
      <c r="G89" t="inlineStr">
        <is>
          <t>Consultant</t>
        </is>
      </c>
      <c r="H89" t="inlineStr">
        <is>
          <t>MUST-HAVE</t>
        </is>
      </c>
      <c r="I89" t="inlineStr">
        <is>
          <t>Derived from features</t>
        </is>
      </c>
      <c r="K89" t="inlineStr">
        <is>
          <t>Built and tested</t>
        </is>
      </c>
      <c r="L89" t="inlineStr">
        <is>
          <t>Built and tested</t>
        </is>
      </c>
      <c r="M89" t="inlineStr">
        <is>
          <t>expires_at, sweep function, partial index</t>
        </is>
      </c>
      <c r="N89" t="inlineStr">
        <is>
          <t>consultant_request, consultant_request_expire_due()</t>
        </is>
      </c>
    </row>
    <row r="90">
      <c r="A90" t="inlineStr">
        <is>
          <t>FR-C06</t>
        </is>
      </c>
      <c r="B90" t="inlineStr">
        <is>
          <t>FDS-01</t>
        </is>
      </c>
      <c r="C90" t="inlineStr">
        <is>
          <t>Sourcing</t>
        </is>
      </c>
      <c r="D90" t="inlineStr">
        <is>
          <t>A consultant submits a candidate only on an approved, live request, for the job of the request, through an application marked as from a consultant that names this consultant; blocked and erased candidates are refused; an application from a consultant always has a submission.</t>
        </is>
      </c>
      <c r="E90" t="inlineStr">
        <is>
          <t>Not recorded</t>
        </is>
      </c>
      <c r="G90" t="inlineStr">
        <is>
          <t>Consultant</t>
        </is>
      </c>
      <c r="H90" t="inlineStr">
        <is>
          <t>MUST-HAVE</t>
        </is>
      </c>
      <c r="I90" t="inlineStr">
        <is>
          <t>Derived from features</t>
        </is>
      </c>
      <c r="K90" t="inlineStr">
        <is>
          <t>Built and tested</t>
        </is>
      </c>
      <c r="L90" t="inlineStr">
        <is>
          <t>Built and tested</t>
        </is>
      </c>
      <c r="M90" t="inlineStr">
        <is>
          <t>Submission trigger (request row read shared); deferred rule on application; mismatch function</t>
        </is>
      </c>
      <c r="N90" t="inlineStr">
        <is>
          <t>consultant_submission, application</t>
        </is>
      </c>
    </row>
    <row r="91">
      <c r="A91" t="inlineStr">
        <is>
          <t>FR-C07</t>
        </is>
      </c>
      <c r="B91" t="inlineStr">
        <is>
          <t>FDS-01</t>
        </is>
      </c>
      <c r="C91" t="inlineStr">
        <is>
          <t>Sourcing</t>
        </is>
      </c>
      <c r="D91" t="inlineStr">
        <is>
          <t>Every contact with a candidate by a recruiter or consultant is recorded without message text, and refused for an erased profile, a candidate who blocked the sender or the organisation, a candidate who withdrew consent to share the profile, and a sender who is not entitled.</t>
        </is>
      </c>
      <c r="E91" t="inlineStr">
        <is>
          <t>Not recorded</t>
        </is>
      </c>
      <c r="G91" t="inlineStr">
        <is>
          <t>Recruiter</t>
        </is>
      </c>
      <c r="H91" t="inlineStr">
        <is>
          <t>MUST-HAVE</t>
        </is>
      </c>
      <c r="I91" t="inlineStr">
        <is>
          <t>Derived from features</t>
        </is>
      </c>
      <c r="K91" t="inlineStr">
        <is>
          <t>Built and tested</t>
        </is>
      </c>
      <c r="L91" t="inlineStr">
        <is>
          <t>Built and tested</t>
        </is>
      </c>
      <c r="M91" t="inlineStr">
        <is>
          <t>Append-only monthly table; outreach trigger; consent read through a definer function</t>
        </is>
      </c>
      <c r="N91" t="inlineStr">
        <is>
          <t>outreach_event</t>
        </is>
      </c>
    </row>
    <row r="92">
      <c r="A92" t="inlineStr">
        <is>
          <t>FR-C08</t>
        </is>
      </c>
      <c r="B92" t="inlineStr">
        <is>
          <t>FDS-01</t>
        </is>
      </c>
      <c r="C92" t="inlineStr">
        <is>
          <t>Sourcing</t>
        </is>
      </c>
      <c r="D92" t="inlineStr">
        <is>
          <t>The same sender cannot contact the same candidate on the same channel more than once in 168 hours, also under parallel writes.</t>
        </is>
      </c>
      <c r="E92" t="inlineStr">
        <is>
          <t>Not recorded</t>
        </is>
      </c>
      <c r="G92" t="inlineStr">
        <is>
          <t>Recruiter</t>
        </is>
      </c>
      <c r="H92" t="inlineStr">
        <is>
          <t>SHOULD-HAVE</t>
        </is>
      </c>
      <c r="I92" t="inlineStr">
        <is>
          <t>Derived from features</t>
        </is>
      </c>
      <c r="K92" t="inlineStr">
        <is>
          <t>Built and tested</t>
        </is>
      </c>
      <c r="L92" t="inlineStr">
        <is>
          <t>Built and tested</t>
        </is>
      </c>
      <c r="M92" t="inlineStr">
        <is>
          <t>Window in one function; advisory lock; looks both ways in time; six races in tests/concurrency_sourcing.sh</t>
        </is>
      </c>
      <c r="N92" t="inlineStr">
        <is>
          <t>outreach_event, outreach_throttle_days()</t>
        </is>
      </c>
    </row>
    <row r="93">
      <c r="A93" t="inlineStr">
        <is>
          <t>FR-C09</t>
        </is>
      </c>
      <c r="B93" t="inlineStr">
        <is>
          <t>FDS-01</t>
        </is>
      </c>
      <c r="C93" t="inlineStr">
        <is>
          <t>Sourcing</t>
        </is>
      </c>
      <c r="D93" t="inlineStr">
        <is>
          <t>Erasing a consultant withdraws their live requests and blanks the free text they or a decider wrote; erasing a candidate blanks the pitch written about them.</t>
        </is>
      </c>
      <c r="E93" t="inlineStr">
        <is>
          <t>Not recorded</t>
        </is>
      </c>
      <c r="G93" t="inlineStr">
        <is>
          <t>Consultant</t>
        </is>
      </c>
      <c r="H93" t="inlineStr">
        <is>
          <t>MUST-HAVE</t>
        </is>
      </c>
      <c r="I93" t="inlineStr">
        <is>
          <t>Derived from features</t>
        </is>
      </c>
      <c r="K93" t="inlineStr">
        <is>
          <t>Built and tested</t>
        </is>
      </c>
      <c r="L93" t="inlineStr">
        <is>
          <t>Built and tested</t>
        </is>
      </c>
      <c r="M93" t="inlineStr">
        <is>
          <t>Erasure function extended; history rows still agree</t>
        </is>
      </c>
      <c r="N93" t="inlineStr">
        <is>
          <t>consultant_request, consultant_submission, erase_account_core()</t>
        </is>
      </c>
    </row>
    <row r="94">
      <c r="A94" t="inlineStr">
        <is>
          <t>FR-N01</t>
        </is>
      </c>
      <c r="B94" t="inlineStr">
        <is>
          <t>FDS-01</t>
        </is>
      </c>
      <c r="C94" t="inlineStr">
        <is>
          <t>Notifications</t>
        </is>
      </c>
      <c r="D94" t="inlineStr">
        <is>
          <t>A message is queued once per recipient, channel and event: repeating an event, in parallel too, adds nothing, and an event settled in the last 7 days counts as a duplicate.</t>
        </is>
      </c>
      <c r="E94" t="inlineStr">
        <is>
          <t>Not recorded</t>
        </is>
      </c>
      <c r="G94" t="inlineStr">
        <is>
          <t>Candidate</t>
        </is>
      </c>
      <c r="H94" t="inlineStr">
        <is>
          <t>MUST-HAVE</t>
        </is>
      </c>
      <c r="I94" t="inlineStr">
        <is>
          <t>Derived from features</t>
        </is>
      </c>
      <c r="K94" t="inlineStr">
        <is>
          <t>Built and tested</t>
        </is>
      </c>
      <c r="L94" t="inlineStr">
        <is>
          <t>Built and tested</t>
        </is>
      </c>
      <c r="M94" t="inlineStr">
        <is>
          <t>Unique index on recipient, channel and event key; advisory lock; 7-day check; races 1 and 2</t>
        </is>
      </c>
      <c r="N94" t="inlineStr">
        <is>
          <t>notification_outbox, notification_enqueue()</t>
        </is>
      </c>
    </row>
    <row r="95">
      <c r="A95" t="inlineStr">
        <is>
          <t>FR-N02</t>
        </is>
      </c>
      <c r="B95" t="inlineStr">
        <is>
          <t>FDS-01</t>
        </is>
      </c>
      <c r="C95" t="inlineStr">
        <is>
          <t>Notifications</t>
        </is>
      </c>
      <c r="D95" t="inlineStr">
        <is>
          <t>Before a message is queued the database checks that the person can receive, has not blocked the person who caused the event, has no suppressed address, has not switched the topic off, has given a required consent and is under the daily cap; a refused message is logged with its reason.</t>
        </is>
      </c>
      <c r="E95" t="inlineStr">
        <is>
          <t>Not recorded</t>
        </is>
      </c>
      <c r="G95" t="inlineStr">
        <is>
          <t>Candidate</t>
        </is>
      </c>
      <c r="H95" t="inlineStr">
        <is>
          <t>MUST-HAVE</t>
        </is>
      </c>
      <c r="I95" t="inlineStr">
        <is>
          <t>Derived from features</t>
        </is>
      </c>
      <c r="K95" t="inlineStr">
        <is>
          <t>Built and tested</t>
        </is>
      </c>
      <c r="L95" t="inlineStr">
        <is>
          <t>Built and tested</t>
        </is>
      </c>
      <c r="M95" t="inlineStr">
        <is>
          <t>Check order in one function; outcomes blocked, suppressed, opted_out, capped, failed</t>
        </is>
      </c>
      <c r="N95" t="inlineStr">
        <is>
          <t>notification_enqueue(), notification_delivery</t>
        </is>
      </c>
    </row>
    <row r="96">
      <c r="A96" t="inlineStr">
        <is>
          <t>FR-N03</t>
        </is>
      </c>
      <c r="B96" t="inlineStr">
        <is>
          <t>FDS-01</t>
        </is>
      </c>
      <c r="C96" t="inlineStr">
        <is>
          <t>Notifications</t>
        </is>
      </c>
      <c r="D96" t="inlineStr">
        <is>
          <t>A person sets preferences by topic and channel, quiet hours and a daily cap; a mandatory topic (security alerts) cannot be switched off and ignores preferences, quiet hours and the cap.</t>
        </is>
      </c>
      <c r="E96" t="inlineStr">
        <is>
          <t>Not recorded</t>
        </is>
      </c>
      <c r="G96" t="inlineStr">
        <is>
          <t>Candidate</t>
        </is>
      </c>
      <c r="H96" t="inlineStr">
        <is>
          <t>MUST-HAVE</t>
        </is>
      </c>
      <c r="I96" t="inlineStr">
        <is>
          <t>Derived from features</t>
        </is>
      </c>
      <c r="K96" t="inlineStr">
        <is>
          <t>Built and tested</t>
        </is>
      </c>
      <c r="L96" t="inlineStr">
        <is>
          <t>Built and tested</t>
        </is>
      </c>
      <c r="M96" t="inlineStr">
        <is>
          <t>Triggers and checks; quiet hours move run_after in the person's time zone</t>
        </is>
      </c>
      <c r="N96" t="inlineStr">
        <is>
          <t>notification_preference, notification_delivery_setting, notification_topic</t>
        </is>
      </c>
    </row>
    <row r="97">
      <c r="A97" t="inlineStr">
        <is>
          <t>FR-N04</t>
        </is>
      </c>
      <c r="B97" t="inlineStr">
        <is>
          <t>FDS-01</t>
        </is>
      </c>
      <c r="C97" t="inlineStr">
        <is>
          <t>Notifications</t>
        </is>
      </c>
      <c r="D97" t="inlineStr">
        <is>
          <t>Templates are versioned per topic, channel and language; a version never changes; the person's language is used, else English.</t>
        </is>
      </c>
      <c r="E97" t="inlineStr">
        <is>
          <t>Not recorded</t>
        </is>
      </c>
      <c r="G97" t="inlineStr">
        <is>
          <t>Candidate</t>
        </is>
      </c>
      <c r="H97" t="inlineStr">
        <is>
          <t>MUST-HAVE</t>
        </is>
      </c>
      <c r="I97" t="inlineStr">
        <is>
          <t>Derived from features</t>
        </is>
      </c>
      <c r="K97" t="inlineStr">
        <is>
          <t>Built and tested</t>
        </is>
      </c>
      <c r="L97" t="inlineStr">
        <is>
          <t>Built and tested</t>
        </is>
      </c>
      <c r="M97" t="inlineStr">
        <is>
          <t>Immutability trigger; one active version per topic, channel and language</t>
        </is>
      </c>
      <c r="N97" t="inlineStr">
        <is>
          <t>notification_template</t>
        </is>
      </c>
    </row>
    <row r="98">
      <c r="A98" t="inlineStr">
        <is>
          <t>FR-N05</t>
        </is>
      </c>
      <c r="B98" t="inlineStr">
        <is>
          <t>FDS-01</t>
        </is>
      </c>
      <c r="C98" t="inlineStr">
        <is>
          <t>Notifications</t>
        </is>
      </c>
      <c r="D98" t="inlineStr">
        <is>
          <t>Workers claim messages without sending one twice: FOR UPDATE SKIP LOCKED with a lease; a lease that runs out gives the message back; retries use backoff to the fifth attempt; a bounce or complaint suppresses the address; an old message expires.</t>
        </is>
      </c>
      <c r="E98" t="inlineStr">
        <is>
          <t>Not recorded</t>
        </is>
      </c>
      <c r="G98" t="inlineStr">
        <is>
          <t>Candidate</t>
        </is>
      </c>
      <c r="H98" t="inlineStr">
        <is>
          <t>MUST-HAVE</t>
        </is>
      </c>
      <c r="I98" t="inlineStr">
        <is>
          <t>Derived from features</t>
        </is>
      </c>
      <c r="K98" t="inlineStr">
        <is>
          <t>Built and tested</t>
        </is>
      </c>
      <c r="L98" t="inlineStr">
        <is>
          <t>Built and tested</t>
        </is>
      </c>
      <c r="M98" t="inlineStr">
        <is>
          <t>Races 3 to 6; claim plan uses a partial index (0.1 ms on 600,000 rows)</t>
        </is>
      </c>
      <c r="N98" t="inlineStr">
        <is>
          <t>claim_deliveries(), notification_complete(), notification_fail(), sweeps</t>
        </is>
      </c>
    </row>
    <row r="99">
      <c r="A99" t="inlineStr">
        <is>
          <t>FR-N06</t>
        </is>
      </c>
      <c r="B99" t="inlineStr">
        <is>
          <t>FDS-01</t>
        </is>
      </c>
      <c r="C99" t="inlineStr">
        <is>
          <t>Notifications</t>
        </is>
      </c>
      <c r="D99" t="inlineStr">
        <is>
          <t>The delivery log and the attempt log are append-only, split by month and kept 90 and 30 days; the outbox holds only messages that wait.</t>
        </is>
      </c>
      <c r="E99" t="inlineStr">
        <is>
          <t>Not recorded</t>
        </is>
      </c>
      <c r="G99" t="inlineStr">
        <is>
          <t>Platform operator</t>
        </is>
      </c>
      <c r="H99" t="inlineStr">
        <is>
          <t>MUST-HAVE</t>
        </is>
      </c>
      <c r="I99" t="inlineStr">
        <is>
          <t>Derived from features</t>
        </is>
      </c>
      <c r="K99" t="inlineStr">
        <is>
          <t>Built and tested</t>
        </is>
      </c>
      <c r="L99" t="inlineStr">
        <is>
          <t>Built and tested</t>
        </is>
      </c>
      <c r="M99" t="inlineStr">
        <is>
          <t>Append-only guards, monthly partitions, retention_days()</t>
        </is>
      </c>
      <c r="N99" t="inlineStr">
        <is>
          <t>notification_delivery, notification_delivery_attempt</t>
        </is>
      </c>
    </row>
    <row r="100">
      <c r="A100" t="inlineStr">
        <is>
          <t>FR-N07</t>
        </is>
      </c>
      <c r="B100" t="inlineStr">
        <is>
          <t>FDS-01</t>
        </is>
      </c>
      <c r="C100" t="inlineStr">
        <is>
          <t>Notifications</t>
        </is>
      </c>
      <c r="D100" t="inlineStr">
        <is>
          <t>An in-app message goes straight to the person's inbox with its delivery row; the person reads and marks their own messages and cannot rewrite them; old rows are purged in batches.</t>
        </is>
      </c>
      <c r="E100" t="inlineStr">
        <is>
          <t>Not recorded</t>
        </is>
      </c>
      <c r="G100" t="inlineStr">
        <is>
          <t>Candidate</t>
        </is>
      </c>
      <c r="H100" t="inlineStr">
        <is>
          <t>MUST-HAVE</t>
        </is>
      </c>
      <c r="I100" t="inlineStr">
        <is>
          <t>Derived from features</t>
        </is>
      </c>
      <c r="K100" t="inlineStr">
        <is>
          <t>Built and tested</t>
        </is>
      </c>
      <c r="L100" t="inlineStr">
        <is>
          <t>Built and tested</t>
        </is>
      </c>
      <c r="M100" t="inlineStr">
        <is>
          <t>Hash partitions by recipient; immutability trigger; unread partial index</t>
        </is>
      </c>
      <c r="N100" t="inlineStr">
        <is>
          <t>inbox_notification, inbox_purge_old()</t>
        </is>
      </c>
    </row>
    <row r="101">
      <c r="A101" t="inlineStr">
        <is>
          <t>FR-N08</t>
        </is>
      </c>
      <c r="B101" t="inlineStr">
        <is>
          <t>FDS-01</t>
        </is>
      </c>
      <c r="C101" t="inlineStr">
        <is>
          <t>Notifications</t>
        </is>
      </c>
      <c r="D101" t="inlineStr">
        <is>
          <t>Community posts, comments, reactions and reports; content is visible, held, hidden or removed by listed steps; only an active administrator moderates and every move is audited.</t>
        </is>
      </c>
      <c r="E101" t="inlineStr">
        <is>
          <t>Not recorded</t>
        </is>
      </c>
      <c r="G101" t="inlineStr">
        <is>
          <t>Candidate</t>
        </is>
      </c>
      <c r="H101" t="inlineStr">
        <is>
          <t>SHOULD-HAVE</t>
        </is>
      </c>
      <c r="I101" t="inlineStr">
        <is>
          <t>Derived from features</t>
        </is>
      </c>
      <c r="K101" t="inlineStr">
        <is>
          <t>Built and tested</t>
        </is>
      </c>
      <c r="L101" t="inlineStr">
        <is>
          <t>Built and tested</t>
        </is>
      </c>
      <c r="M101" t="inlineStr">
        <is>
          <t>Transition table; moderator rule; audit writer owned by the audit role</t>
        </is>
      </c>
      <c r="N101" t="inlineStr">
        <is>
          <t>community_post, community_comment, community_moderation_transition</t>
        </is>
      </c>
    </row>
    <row r="102">
      <c r="A102" t="inlineStr">
        <is>
          <t>FR-N09</t>
        </is>
      </c>
      <c r="B102" t="inlineStr">
        <is>
          <t>FDS-01</t>
        </is>
      </c>
      <c r="C102" t="inlineStr">
        <is>
          <t>Notifications</t>
        </is>
      </c>
      <c r="D102" t="inlineStr">
        <is>
          <t>The blocking list is respected in the community: a blocked person cannot see, comment on or react to the content of the person who blocked them.</t>
        </is>
      </c>
      <c r="E102" t="inlineStr">
        <is>
          <t>Not recorded</t>
        </is>
      </c>
      <c r="G102" t="inlineStr">
        <is>
          <t>Candidate</t>
        </is>
      </c>
      <c r="H102" t="inlineStr">
        <is>
          <t>MUST-HAVE</t>
        </is>
      </c>
      <c r="I102" t="inlineStr">
        <is>
          <t>Derived from features</t>
        </is>
      </c>
      <c r="K102" t="inlineStr">
        <is>
          <t>Built and tested</t>
        </is>
      </c>
      <c r="L102" t="inlineStr">
        <is>
          <t>Built and tested</t>
        </is>
      </c>
      <c r="M102" t="inlineStr">
        <is>
          <t>Row-level policy and write rules call candidate_is_blocked_for()</t>
        </is>
      </c>
      <c r="N102" t="inlineStr">
        <is>
          <t>community policies, community_comment, community_reaction</t>
        </is>
      </c>
    </row>
    <row r="103">
      <c r="A103" t="inlineStr">
        <is>
          <t>FR-N10</t>
        </is>
      </c>
      <c r="B103" t="inlineStr">
        <is>
          <t>FDS-01</t>
        </is>
      </c>
      <c r="C103" t="inlineStr">
        <is>
          <t>Notifications</t>
        </is>
      </c>
      <c r="D103" t="inlineStr">
        <is>
          <t>A report cannot be on the reporter's own content, is decided once by an administrator, and upholding it hides the content in the same transaction.</t>
        </is>
      </c>
      <c r="E103" t="inlineStr">
        <is>
          <t>Not recorded</t>
        </is>
      </c>
      <c r="G103" t="inlineStr">
        <is>
          <t>Candidate</t>
        </is>
      </c>
      <c r="H103" t="inlineStr">
        <is>
          <t>SHOULD-HAVE</t>
        </is>
      </c>
      <c r="I103" t="inlineStr">
        <is>
          <t>Derived from features</t>
        </is>
      </c>
      <c r="K103" t="inlineStr">
        <is>
          <t>Built and tested</t>
        </is>
      </c>
      <c r="L103" t="inlineStr">
        <is>
          <t>Built and tested</t>
        </is>
      </c>
      <c r="M103" t="inlineStr">
        <is>
          <t>Report trigger; one open report per reporter and target</t>
        </is>
      </c>
      <c r="N103" t="inlineStr">
        <is>
          <t>community_report</t>
        </is>
      </c>
    </row>
    <row r="104">
      <c r="A104" t="inlineStr">
        <is>
          <t>FR-N11</t>
        </is>
      </c>
      <c r="B104" t="inlineStr">
        <is>
          <t>FDS-01</t>
        </is>
      </c>
      <c r="C104" t="inlineStr">
        <is>
          <t>Notifications</t>
        </is>
      </c>
      <c r="D104" t="inlineStr">
        <is>
          <t>Erasing a person cancels their queued messages, blanks the inbox and the notes they wrote, retires their preferences, deletes their reactions and replaces their posts and comments with a removed notice; a message queued during the erasure does not stay.</t>
        </is>
      </c>
      <c r="E104" t="inlineStr">
        <is>
          <t>Not recorded</t>
        </is>
      </c>
      <c r="G104" t="inlineStr">
        <is>
          <t>Candidate</t>
        </is>
      </c>
      <c r="H104" t="inlineStr">
        <is>
          <t>MUST-HAVE</t>
        </is>
      </c>
      <c r="I104" t="inlineStr">
        <is>
          <t>Derived from features</t>
        </is>
      </c>
      <c r="K104" t="inlineStr">
        <is>
          <t>Built and tested</t>
        </is>
      </c>
      <c r="L104" t="inlineStr">
        <is>
          <t>Built and tested</t>
        </is>
      </c>
      <c r="M104" t="inlineStr">
        <is>
          <t>Erasure extended; person row locked first; race 8</t>
        </is>
      </c>
      <c r="N104" t="inlineStr">
        <is>
          <t>erase_account_core()</t>
        </is>
      </c>
    </row>
    <row r="105">
      <c r="A105" t="inlineStr">
        <is>
          <t>FR-R01</t>
        </is>
      </c>
      <c r="B105" t="inlineStr">
        <is>
          <t>FDS-01</t>
        </is>
      </c>
      <c r="C105" t="inlineStr">
        <is>
          <t>Analytics</t>
        </is>
      </c>
      <c r="D105" t="inlineStr">
        <is>
          <t>Organisations and jobs are slowly changing dimensions: one row per version, one current version, no overlap in time.</t>
        </is>
      </c>
      <c r="E105" t="inlineStr">
        <is>
          <t>Not recorded</t>
        </is>
      </c>
      <c r="G105" t="inlineStr">
        <is>
          <t>Data analyst</t>
        </is>
      </c>
      <c r="H105" t="inlineStr">
        <is>
          <t>SHOULD-HAVE</t>
        </is>
      </c>
      <c r="I105" t="inlineStr">
        <is>
          <t>Derived from features</t>
        </is>
      </c>
      <c r="K105" t="inlineStr">
        <is>
          <t>Built and tested</t>
        </is>
      </c>
      <c r="L105" t="inlineStr">
        <is>
          <t>Built and tested</t>
        </is>
      </c>
      <c r="M105" t="inlineStr">
        <is>
          <t>Exclusion constraints and partial unique indexes</t>
        </is>
      </c>
      <c r="N105" t="inlineStr">
        <is>
          <t>dim_organisation, dim_job</t>
        </is>
      </c>
    </row>
    <row r="106">
      <c r="A106" t="inlineStr">
        <is>
          <t>FR-R02</t>
        </is>
      </c>
      <c r="B106" t="inlineStr">
        <is>
          <t>FDS-01</t>
        </is>
      </c>
      <c r="C106" t="inlineStr">
        <is>
          <t>Analytics</t>
        </is>
      </c>
      <c r="D106" t="inlineStr">
        <is>
          <t>Three daily marts (applications, wallet, delivery) are rebuilt a day at a time in one transaction under a lock; refreshing twice gives the same rows.</t>
        </is>
      </c>
      <c r="E106" t="inlineStr">
        <is>
          <t>Not recorded</t>
        </is>
      </c>
      <c r="G106" t="inlineStr">
        <is>
          <t>Data analyst</t>
        </is>
      </c>
      <c r="H106" t="inlineStr">
        <is>
          <t>SHOULD-HAVE</t>
        </is>
      </c>
      <c r="I106" t="inlineStr">
        <is>
          <t>Derived from features</t>
        </is>
      </c>
      <c r="K106" t="inlineStr">
        <is>
          <t>Built and tested</t>
        </is>
      </c>
      <c r="L106" t="inlineStr">
        <is>
          <t>Built and tested</t>
        </is>
      </c>
      <c r="M106" t="inlineStr">
        <is>
          <t>analytics_refresh_day(); race 10</t>
        </is>
      </c>
      <c r="N106" t="inlineStr">
        <is>
          <t>fact_application_daily, fact_wallet_daily, fact_delivery_daily</t>
        </is>
      </c>
    </row>
    <row r="107">
      <c r="A107" t="inlineStr">
        <is>
          <t>FR-R03</t>
        </is>
      </c>
      <c r="B107" t="inlineStr">
        <is>
          <t>FDS-01</t>
        </is>
      </c>
      <c r="C107" t="inlineStr">
        <is>
          <t>Analytics</t>
        </is>
      </c>
      <c r="D107" t="inlineStr">
        <is>
          <t>A watermark records the last day refreshed; a failed day is rolled back, logged as failed and stops that mart; a range can be rebuilt without moving the watermark.</t>
        </is>
      </c>
      <c r="E107" t="inlineStr">
        <is>
          <t>Not recorded</t>
        </is>
      </c>
      <c r="G107" t="inlineStr">
        <is>
          <t>Data analyst</t>
        </is>
      </c>
      <c r="H107" t="inlineStr">
        <is>
          <t>SHOULD-HAVE</t>
        </is>
      </c>
      <c r="I107" t="inlineStr">
        <is>
          <t>Derived from features</t>
        </is>
      </c>
      <c r="K107" t="inlineStr">
        <is>
          <t>Built and tested</t>
        </is>
      </c>
      <c r="L107" t="inlineStr">
        <is>
          <t>Built and tested</t>
        </is>
      </c>
      <c r="M107" t="inlineStr">
        <is>
          <t>analytics_refresh_through(), analytics_refresh_range()</t>
        </is>
      </c>
      <c r="N107" t="inlineStr">
        <is>
          <t>analytics_refresh_watermark, analytics_refresh_run</t>
        </is>
      </c>
    </row>
    <row r="108">
      <c r="A108" t="inlineStr">
        <is>
          <t>FR-R04</t>
        </is>
      </c>
      <c r="B108" t="inlineStr">
        <is>
          <t>FDS-01</t>
        </is>
      </c>
      <c r="C108" t="inlineStr">
        <is>
          <t>Analytics</t>
        </is>
      </c>
      <c r="D108" t="inlineStr">
        <is>
          <t>Every mart can be recomputed from its source and the differences listed; the lists are empty when the mart is right.</t>
        </is>
      </c>
      <c r="E108" t="inlineStr">
        <is>
          <t>Not recorded</t>
        </is>
      </c>
      <c r="G108" t="inlineStr">
        <is>
          <t>Data analyst</t>
        </is>
      </c>
      <c r="H108" t="inlineStr">
        <is>
          <t>SHOULD-HAVE</t>
        </is>
      </c>
      <c r="I108" t="inlineStr">
        <is>
          <t>Derived from features</t>
        </is>
      </c>
      <c r="K108" t="inlineStr">
        <is>
          <t>Built and tested</t>
        </is>
      </c>
      <c r="L108" t="inlineStr">
        <is>
          <t>Built and tested</t>
        </is>
      </c>
      <c r="M108" t="inlineStr">
        <is>
          <t>Missing, unexpected and different rows; the demo loader checks it</t>
        </is>
      </c>
      <c r="N108" t="inlineStr">
        <is>
          <t>analytics_*_mismatches()</t>
        </is>
      </c>
    </row>
    <row r="109">
      <c r="A109" t="inlineStr">
        <is>
          <t>FR-R05</t>
        </is>
      </c>
      <c r="B109" t="inlineStr">
        <is>
          <t>FDS-01</t>
        </is>
      </c>
      <c r="C109" t="inlineStr">
        <is>
          <t>Analytics</t>
        </is>
      </c>
      <c r="D109" t="inlineStr">
        <is>
          <t>Reports read views that hide any count below 5, and no mart or view has a column that names a person or holds free text.</t>
        </is>
      </c>
      <c r="E109" t="inlineStr">
        <is>
          <t>Not recorded</t>
        </is>
      </c>
      <c r="G109" t="inlineStr">
        <is>
          <t>Data analyst</t>
        </is>
      </c>
      <c r="H109" t="inlineStr">
        <is>
          <t>MUST-HAVE</t>
        </is>
      </c>
      <c r="I109" t="inlineStr">
        <is>
          <t>Derived from features</t>
        </is>
      </c>
      <c r="K109" t="inlineStr">
        <is>
          <t>Built and tested</t>
        </is>
      </c>
      <c r="L109" t="inlineStr">
        <is>
          <t>Built and tested</t>
        </is>
      </c>
      <c r="M109" t="inlineStr">
        <is>
          <t>CASE on analytics_min_group_size(); column-name scan test</t>
        </is>
      </c>
      <c r="N109" t="inlineStr">
        <is>
          <t>report_application_daily, report_application_monthly, report_wallet_daily, report_delivery_daily</t>
        </is>
      </c>
    </row>
    <row r="110">
      <c r="A110" t="inlineStr">
        <is>
          <t>FR-R06</t>
        </is>
      </c>
      <c r="B110" t="inlineStr">
        <is>
          <t>FDS-01</t>
        </is>
      </c>
      <c r="C110" t="inlineStr">
        <is>
          <t>Analytics</t>
        </is>
      </c>
      <c r="D110" t="inlineStr">
        <is>
          <t>An organisation reads only its own mart rows; the delivery mart, the run log and the watermark are for administrators; only the batch functions write a mart; the reporting role reads the views and nothing underneath.</t>
        </is>
      </c>
      <c r="E110" t="inlineStr">
        <is>
          <t>Not recorded</t>
        </is>
      </c>
      <c r="G110" t="inlineStr">
        <is>
          <t>Data analyst</t>
        </is>
      </c>
      <c r="H110" t="inlineStr">
        <is>
          <t>MUST-HAVE</t>
        </is>
      </c>
      <c r="I110" t="inlineStr">
        <is>
          <t>Derived from features</t>
        </is>
      </c>
      <c r="K110" t="inlineStr">
        <is>
          <t>Built and tested</t>
        </is>
      </c>
      <c r="L110" t="inlineStr">
        <is>
          <t>Built and tested</t>
        </is>
      </c>
      <c r="M110" t="inlineStr">
        <is>
          <t>Security K tests</t>
        </is>
      </c>
      <c r="N110" t="inlineStr">
        <is>
          <t>row-level policies, talentra_batch, talentra_readonly</t>
        </is>
      </c>
    </row>
    <row r="111">
      <c r="A111" t="inlineStr">
        <is>
          <t>FR-X03</t>
        </is>
      </c>
      <c r="B111" t="inlineStr">
        <is>
          <t>FDS-01</t>
        </is>
      </c>
      <c r="C111" t="inlineStr">
        <is>
          <t>Cross module</t>
        </is>
      </c>
      <c r="D111" t="inlineStr">
        <is>
          <t>Wallet and payments belong to the Subscriptions module.</t>
        </is>
      </c>
      <c r="E111" t="inlineStr">
        <is>
          <t>Not recorded</t>
        </is>
      </c>
      <c r="G111" t="inlineStr">
        <is>
          <t>Organisation administrator</t>
        </is>
      </c>
      <c r="H111" t="inlineStr">
        <is>
          <t>SHOULD-HAVE</t>
        </is>
      </c>
      <c r="I111" t="inlineStr">
        <is>
          <t>Derived from features</t>
        </is>
      </c>
      <c r="K111" t="inlineStr">
        <is>
          <t>Built and tested</t>
        </is>
      </c>
      <c r="L111" t="inlineStr">
        <is>
          <t>Built and tested</t>
        </is>
      </c>
      <c r="M111" t="inlineStr">
        <is>
          <t>docs/modules/subscriptions</t>
        </is>
      </c>
      <c r="N111" t="inlineStr">
        <is>
          <t>wallet, wallet_ledger_entry, payment_event</t>
        </is>
      </c>
    </row>
  </sheetData>
  <autoFilter ref="A3:N111"/>
  <dataValidations count="5">
    <dataValidation sqref="E4:E151" showDropDown="0" showInputMessage="0" showErrorMessage="1" allowBlank="1" errorTitle="Not in the schema list" error="Pick a value from the ReqSource list on the Allowed values sheet." type="list">
      <formula1>='Allowed values'!$B$178:$B$182</formula1>
    </dataValidation>
    <dataValidation sqref="G4:G151" showDropDown="0" showInputMessage="0" showErrorMessage="1" allowBlank="1" errorTitle="Not in the schema list" error="Pick a value from the Persona list on the Allowed values sheet." type="list">
      <formula1>='Allowed values'!$B$44:$B$55</formula1>
    </dataValidation>
    <dataValidation sqref="H4:H151" showDropDown="0" showInputMessage="0" showErrorMessage="1" allowBlank="1" errorTitle="Not in the schema list" error="Pick a value from the Class list on the Allowed values sheet." type="list">
      <formula1>='Allowed values'!$B$68:$B$70</formula1>
    </dataValidation>
    <dataValidation sqref="I4:I151" showDropDown="0" showInputMessage="0" showErrorMessage="1" allowBlank="1" errorTitle="Not in the schema list" error="Pick a value from the PriorityBasis list on the Allowed values sheet." type="list">
      <formula1>='Allowed values'!$B$193:$B$195</formula1>
    </dataValidation>
    <dataValidation sqref="K4:K151" showDropDown="0" showInputMessage="0" showErrorMessage="1" allowBlank="1" errorTitle="Not in the schema list" error="Pick a value from the ReqStatus list on the Allowed values sheet." type="list">
      <formula1>='Allowed values'!$B$183:$B$187</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2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22" customWidth="1" min="1" max="1"/>
    <col width="22" customWidth="1" min="2" max="2"/>
    <col width="22" customWidth="1" min="3" max="3"/>
    <col width="60" customWidth="1" min="4" max="4"/>
    <col width="22" customWidth="1" min="5" max="5"/>
    <col width="22" customWidth="1" min="6" max="6"/>
  </cols>
  <sheetData>
    <row r="1">
      <c r="A1" s="42" t="inlineStr">
        <is>
          <t>Output document (draft, deliverable c, Step 01): lines of the split brief. Only open questions (from the Open Items and Risks sheet) and deliberate omissions (from feature discovery) exist so far. Goals, in-scope lines and assumptions are not recorded: they need the original brief.</t>
        </is>
      </c>
    </row>
    <row r="3">
      <c r="A3" s="24" t="inlineStr">
        <is>
          <t>scope_id</t>
        </is>
      </c>
      <c r="B3" s="24" t="inlineStr">
        <is>
          <t>study_id</t>
        </is>
      </c>
      <c r="C3" s="24" t="inlineStr">
        <is>
          <t>line_type</t>
        </is>
      </c>
      <c r="D3" s="24" t="inlineStr">
        <is>
          <t>statement</t>
        </is>
      </c>
      <c r="E3" s="24" t="inlineStr">
        <is>
          <t>maps_to_requirement</t>
        </is>
      </c>
      <c r="F3" s="24" t="inlineStr">
        <is>
          <t>scope_source</t>
        </is>
      </c>
    </row>
    <row r="4">
      <c r="A4" t="inlineStr">
        <is>
          <t>SC-001</t>
        </is>
      </c>
      <c r="B4" t="inlineStr">
        <is>
          <t>FDS-01</t>
        </is>
      </c>
      <c r="C4" t="inlineStr">
        <is>
          <t>Open question</t>
        </is>
      </c>
      <c r="D4" t="inlineStr">
        <is>
          <t>B17 and the 15 to 16 October documents were closed by the lead after an independent review. No teammate has reviewed them yet; a review by Ishaan or Prabhav is welcome.</t>
        </is>
      </c>
      <c r="F4" t="inlineStr">
        <is>
          <t>Open items sheet, RK-01</t>
        </is>
      </c>
    </row>
    <row r="5">
      <c r="A5" t="inlineStr">
        <is>
          <t>SC-002</t>
        </is>
      </c>
      <c r="B5" t="inlineStr">
        <is>
          <t>FDS-01</t>
        </is>
      </c>
      <c r="C5" t="inlineStr">
        <is>
          <t>Open question</t>
        </is>
      </c>
      <c r="D5" t="inlineStr">
        <is>
          <t>The exchange log is built in the Administration module. The per-field legacy sync rules are still a proposal and need confirmation with the legacy owners.</t>
        </is>
      </c>
      <c r="F5" t="inlineStr">
        <is>
          <t>Open items sheet, RK-02</t>
        </is>
      </c>
    </row>
    <row r="6">
      <c r="A6" t="inlineStr">
        <is>
          <t>SC-003</t>
        </is>
      </c>
      <c r="B6" t="inlineStr">
        <is>
          <t>FDS-01</t>
        </is>
      </c>
      <c r="C6" t="inlineStr">
        <is>
          <t>Open question</t>
        </is>
      </c>
      <c r="D6" t="inlineStr">
        <is>
          <t>Only 50,000 of 1,000,000 candidates are loaded. Full load needs about 11 GB; the laptop has about 5 GB free.</t>
        </is>
      </c>
      <c r="F6" t="inlineStr">
        <is>
          <t>Open items sheet, RK-03</t>
        </is>
      </c>
    </row>
    <row r="7">
      <c r="A7" t="inlineStr">
        <is>
          <t>SC-004</t>
        </is>
      </c>
      <c r="B7" t="inlineStr">
        <is>
          <t>FDS-01</t>
        </is>
      </c>
      <c r="C7" t="inlineStr">
        <is>
          <t>Open question</t>
        </is>
      </c>
      <c r="D7" t="inlineStr">
        <is>
          <t>All 11 modules are built; Phase 5 (seeding at scale, timings, indexes, backup, migration) is not started.</t>
        </is>
      </c>
      <c r="F7" t="inlineStr">
        <is>
          <t>Open items sheet, RK-04</t>
        </is>
      </c>
    </row>
    <row r="8">
      <c r="A8" t="inlineStr">
        <is>
          <t>SC-005</t>
        </is>
      </c>
      <c r="B8" t="inlineStr">
        <is>
          <t>FDS-01</t>
        </is>
      </c>
      <c r="C8" t="inlineStr">
        <is>
          <t>Open question</t>
        </is>
      </c>
      <c r="D8" t="inlineStr">
        <is>
          <t>Roles, a proven session, row-level security on 120 tables, audit writers and 227 access tests are built (16 October). Open: no teammate or independent review; the oracle functions answer for any id (SEC13); policy cost at scale is unmeasured; deployment must set TLS, timeouts and encrypted backups.</t>
        </is>
      </c>
      <c r="F8" t="inlineStr">
        <is>
          <t>Open items sheet, RK-05</t>
        </is>
      </c>
    </row>
    <row r="9">
      <c r="A9" t="inlineStr">
        <is>
          <t>SC-006</t>
        </is>
      </c>
      <c r="B9" t="inlineStr">
        <is>
          <t>FDS-01</t>
        </is>
      </c>
      <c r="C9" t="inlineStr">
        <is>
          <t>Open question</t>
        </is>
      </c>
      <c r="D9" t="inlineStr">
        <is>
          <t>The rule compliance table has no rule left as not built and 4 partly met (encryption at column level, retention jobs, default views, one more). They are closed as the modules and the deployment steps are built.</t>
        </is>
      </c>
      <c r="F9" t="inlineStr">
        <is>
          <t>Open items sheet, RK-06</t>
        </is>
      </c>
    </row>
    <row r="10">
      <c r="A10" t="inlineStr">
        <is>
          <t>SC-007</t>
        </is>
      </c>
      <c r="B10" t="inlineStr">
        <is>
          <t>FDS-01</t>
        </is>
      </c>
      <c r="C10" t="inlineStr">
        <is>
          <t>Open question</t>
        </is>
      </c>
      <c r="D10" t="inlineStr">
        <is>
          <t>Subscriptions was built and closed by the lead without an independent review round, and no teammate has reviewed it. The earlier modules each had defects found by review.</t>
        </is>
      </c>
      <c r="F10" t="inlineStr">
        <is>
          <t>Open items sheet, RK-14</t>
        </is>
      </c>
    </row>
    <row r="11">
      <c r="A11" t="inlineStr">
        <is>
          <t>SC-008</t>
        </is>
      </c>
      <c r="B11" t="inlineStr">
        <is>
          <t>FDS-01</t>
        </is>
      </c>
      <c r="C11" t="inlineStr">
        <is>
          <t>Open question</t>
        </is>
      </c>
      <c r="D11" t="inlineStr">
        <is>
          <t>Sourcing was built and tested (233 tests, nine races) and has had two independent reviews, but no teammate has reviewed it. Before that, no independent review round has been run and no teammate has reviewed it. Its own testing found one lost-row race that a single-session test could not show.</t>
        </is>
      </c>
      <c r="F11" t="inlineStr">
        <is>
          <t>Open items sheet, RK-15</t>
        </is>
      </c>
    </row>
    <row r="12">
      <c r="A12" t="inlineStr">
        <is>
          <t>SC-009</t>
        </is>
      </c>
      <c r="B12" t="inlineStr">
        <is>
          <t>FDS-01</t>
        </is>
      </c>
      <c r="C12" t="inlineStr">
        <is>
          <t>Open question</t>
        </is>
      </c>
      <c r="D12" t="inlineStr">
        <is>
          <t>The races on seats, devices and sessions were checked with parallel sessions on a scratch database. The SQL test script runs in one session and cannot repeat them. Sourcing now has a repeatable script (tests/concurrency_sourcing.sh); Licences does not.</t>
        </is>
      </c>
      <c r="F12" t="inlineStr">
        <is>
          <t>Open items sheet, RK-12</t>
        </is>
      </c>
    </row>
    <row r="13">
      <c r="A13" t="inlineStr">
        <is>
          <t>SC-010</t>
        </is>
      </c>
      <c r="B13" t="inlineStr">
        <is>
          <t>FDS-01</t>
        </is>
      </c>
      <c r="C13" t="inlineStr">
        <is>
          <t>Open question</t>
        </is>
      </c>
      <c r="D13" t="inlineStr">
        <is>
          <t>Recruiters, consultants and administrators are erasable (membership, seat and devices end; device text scrubbed) through erase_account().</t>
        </is>
      </c>
      <c r="F13" t="inlineStr">
        <is>
          <t>Open items sheet, RK-13</t>
        </is>
      </c>
    </row>
    <row r="14">
      <c r="A14" t="inlineStr">
        <is>
          <t>SC-011</t>
        </is>
      </c>
      <c r="B14" t="inlineStr">
        <is>
          <t>FDS-01</t>
        </is>
      </c>
      <c r="C14" t="inlineStr">
        <is>
          <t>Open question</t>
        </is>
      </c>
      <c r="D14" t="inlineStr">
        <is>
          <t>The per-field sync directions and the conflict rule in the integration table are a proposal and need Prabhav's confirmation with the legacy owners.</t>
        </is>
      </c>
      <c r="F14" t="inlineStr">
        <is>
          <t>Open items sheet, RK-11</t>
        </is>
      </c>
    </row>
    <row r="15">
      <c r="A15" t="inlineStr">
        <is>
          <t>SC-012</t>
        </is>
      </c>
      <c r="B15" t="inlineStr">
        <is>
          <t>FDS-01</t>
        </is>
      </c>
      <c r="C15" t="inlineStr">
        <is>
          <t>Open question</t>
        </is>
      </c>
      <c r="D15" t="inlineStr">
        <is>
          <t>Locked questionnaires, position required on a published job, requires-comment trigger, recruiter-agency trigger, currency lookup.</t>
        </is>
      </c>
      <c r="F15" t="inlineStr">
        <is>
          <t>Open items sheet, RK-07</t>
        </is>
      </c>
    </row>
    <row r="16">
      <c r="A16" t="inlineStr">
        <is>
          <t>SC-013</t>
        </is>
      </c>
      <c r="B16" t="inlineStr">
        <is>
          <t>FDS-01</t>
        </is>
      </c>
      <c r="C16" t="inlineStr">
        <is>
          <t>Open question</t>
        </is>
      </c>
      <c r="D16" t="inlineStr">
        <is>
          <t>Some competitor cells could not be verified from public pages (languages, work authorisation, certifications, Campus). They stay marked Known.</t>
        </is>
      </c>
      <c r="F16" t="inlineStr">
        <is>
          <t>Open items sheet, RK-08</t>
        </is>
      </c>
    </row>
    <row r="17">
      <c r="A17" t="inlineStr">
        <is>
          <t>SC-014</t>
        </is>
      </c>
      <c r="B17" t="inlineStr">
        <is>
          <t>FDS-01</t>
        </is>
      </c>
      <c r="C17" t="inlineStr">
        <is>
          <t>Open question</t>
        </is>
      </c>
      <c r="D17" t="inlineStr">
        <is>
          <t>The brief is confidential. It must not be committed; .env holds the local DB password.</t>
        </is>
      </c>
      <c r="F17" t="inlineStr">
        <is>
          <t>Open items sheet, RK-09</t>
        </is>
      </c>
    </row>
    <row r="18">
      <c r="A18" t="inlineStr">
        <is>
          <t>SC-015</t>
        </is>
      </c>
      <c r="B18" t="inlineStr">
        <is>
          <t>FDS-01</t>
        </is>
      </c>
      <c r="C18" t="inlineStr">
        <is>
          <t>Open question</t>
        </is>
      </c>
      <c r="D18" t="inlineStr">
        <is>
          <t>If a cloud database is used, port 5432 must stay private and SSH limited to known addresses.</t>
        </is>
      </c>
      <c r="F18" t="inlineStr">
        <is>
          <t>Open items sheet, RK-10</t>
        </is>
      </c>
    </row>
    <row r="19">
      <c r="A19" t="inlineStr">
        <is>
          <t>SC-016</t>
        </is>
      </c>
      <c r="B19" t="inlineStr">
        <is>
          <t>FDS-01</t>
        </is>
      </c>
      <c r="C19" t="inlineStr">
        <is>
          <t>Out of scope</t>
        </is>
      </c>
      <c r="D19" t="inlineStr">
        <is>
          <t>Bulk email, up to 160 resumes at a time: deliberately left out of the design</t>
        </is>
      </c>
      <c r="F19" t="inlineStr">
        <is>
          <t>Feature discovery, FD-028</t>
        </is>
      </c>
    </row>
    <row r="20">
      <c r="A20" t="inlineStr">
        <is>
          <t>SC-017</t>
        </is>
      </c>
      <c r="B20" t="inlineStr">
        <is>
          <t>FDS-01</t>
        </is>
      </c>
      <c r="C20" t="inlineStr">
        <is>
          <t>Out of scope</t>
        </is>
      </c>
      <c r="D20" t="inlineStr">
        <is>
          <t>Company reviews and salary data: deliberately left out of the design</t>
        </is>
      </c>
      <c r="F20" t="inlineStr">
        <is>
          <t>Feature discovery, FD-034</t>
        </is>
      </c>
    </row>
    <row r="21">
      <c r="A21" t="inlineStr">
        <is>
          <t>SC-018</t>
        </is>
      </c>
      <c r="B21" t="inlineStr">
        <is>
          <t>FDS-01</t>
        </is>
      </c>
      <c r="C21" t="inlineStr">
        <is>
          <t>Out of scope</t>
        </is>
      </c>
      <c r="D21" t="inlineStr">
        <is>
          <t>Skills contests and prep content: deliberately left out of the design</t>
        </is>
      </c>
      <c r="F21" t="inlineStr">
        <is>
          <t>Feature discovery, FD-048</t>
        </is>
      </c>
    </row>
    <row r="22">
      <c r="A22" t="inlineStr">
        <is>
          <t>SC-019</t>
        </is>
      </c>
      <c r="B22" t="inlineStr">
        <is>
          <t>FDS-01</t>
        </is>
      </c>
      <c r="C22" t="inlineStr">
        <is>
          <t>Out of scope</t>
        </is>
      </c>
      <c r="D22" t="inlineStr">
        <is>
          <t>Custom fields on a prospect: deliberately left out of the design</t>
        </is>
      </c>
      <c r="F22" t="inlineStr">
        <is>
          <t>Feature discovery, FD-058</t>
        </is>
      </c>
    </row>
  </sheetData>
  <autoFilter ref="A3:F22"/>
  <dataValidations count="1">
    <dataValidation sqref="C4:C62" showDropDown="0" showInputMessage="0" showErrorMessage="1" allowBlank="1" errorTitle="Not in the schema list" error="Pick a value from the LineType list on the Allowed values sheet." type="list">
      <formula1>='Allowed values'!$B$188:$B$192</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B1:G28"/>
  <sheetViews>
    <sheetView showGridLines="0" workbookViewId="0">
      <selection activeCell="A1" sqref="A1"/>
    </sheetView>
  </sheetViews>
  <sheetFormatPr baseColWidth="8" defaultRowHeight="15"/>
  <cols>
    <col width="2" customWidth="1" min="1" max="1"/>
    <col width="6" customWidth="1" min="2" max="2"/>
    <col width="52" customWidth="1" min="3" max="3"/>
    <col width="14" customWidth="1" min="4" max="4"/>
    <col width="12" customWidth="1" min="5" max="5"/>
    <col width="12" customWidth="1" min="6" max="6"/>
    <col width="54" customWidth="1" min="7" max="7"/>
  </cols>
  <sheetData>
    <row r="1" ht="28" customHeight="1">
      <c r="B1" s="1" t="inlineStr">
        <is>
          <t>Schema rating scorecard</t>
        </is>
      </c>
      <c r="C1" s="2" t="n"/>
      <c r="D1" s="2" t="n"/>
      <c r="E1" s="2" t="n"/>
      <c r="F1" s="2" t="n"/>
      <c r="G1" s="2" t="n"/>
    </row>
    <row r="2">
      <c r="B2" s="3" t="inlineStr">
        <is>
          <t>Part A: live formulas on the Tree and Schema register. Part B: a person rates; left blank on purpose.</t>
        </is>
      </c>
    </row>
    <row r="4">
      <c r="B4" s="24" t="inlineStr">
        <is>
          <t>#</t>
        </is>
      </c>
      <c r="C4" s="24" t="inlineStr">
        <is>
          <t>Check</t>
        </is>
      </c>
      <c r="D4" s="24" t="inlineStr">
        <is>
          <t>Value</t>
        </is>
      </c>
      <c r="E4" s="24" t="inlineStr">
        <is>
          <t>Target</t>
        </is>
      </c>
      <c r="F4" s="24" t="inlineStr">
        <is>
          <t>Result</t>
        </is>
      </c>
      <c r="G4" s="24" t="inlineStr">
        <is>
          <t>What it proves</t>
        </is>
      </c>
    </row>
    <row r="5">
      <c r="B5" s="26" t="n">
        <v>1</v>
      </c>
      <c r="C5" s="26" t="inlineStr">
        <is>
          <t>Deepest level in the tree</t>
        </is>
      </c>
      <c r="D5" s="26">
        <f>MAX(Tree!$E$2:$E$170)</f>
        <v/>
      </c>
      <c r="E5" s="26" t="n">
        <v>3</v>
      </c>
      <c r="F5" s="26">
        <f>IF(D5=E5,"PASS","FAIL")</f>
        <v/>
      </c>
      <c r="G5" s="26" t="inlineStr">
        <is>
          <t>The tree is no deeper than three levels.</t>
        </is>
      </c>
    </row>
    <row r="6">
      <c r="B6" s="26" t="n">
        <v>2</v>
      </c>
      <c r="C6" s="26" t="inlineStr">
        <is>
          <t>Nodes with no definition</t>
        </is>
      </c>
      <c r="D6" s="26">
        <f>COUNTBLANK(Tree!$H$2:$H$170)</f>
        <v/>
      </c>
      <c r="E6" s="26" t="n">
        <v>0</v>
      </c>
      <c r="F6" s="26">
        <f>IF(D6=E6,"PASS","FAIL")</f>
        <v/>
      </c>
      <c r="G6" s="26" t="inlineStr">
        <is>
          <t>Every section, parameter and sub-parameter says what it means.</t>
        </is>
      </c>
    </row>
    <row r="7">
      <c r="B7" s="26" t="n">
        <v>3</v>
      </c>
      <c r="C7" s="26" t="inlineStr">
        <is>
          <t>Sub-parameters with no data type</t>
        </is>
      </c>
      <c r="D7" s="26">
        <f>COUNTIFS(Tree!$E$2:$E$170,3,Tree!$I$2:$I$170,"")</f>
        <v/>
      </c>
      <c r="E7" s="26" t="n">
        <v>0</v>
      </c>
      <c r="F7" s="26">
        <f>IF(D7=E7,"PASS","FAIL")</f>
        <v/>
      </c>
      <c r="G7" s="26" t="inlineStr">
        <is>
          <t>Every sub-parameter has a type.</t>
        </is>
      </c>
    </row>
    <row r="8">
      <c r="B8" s="26" t="n">
        <v>4</v>
      </c>
      <c r="C8" s="26" t="inlineStr">
        <is>
          <t>Sub-parameters with no table column</t>
        </is>
      </c>
      <c r="D8" s="26">
        <f>COUNTIFS(Tree!$E$2:$E$170,3,Tree!$O$2:$O$170,"")</f>
        <v/>
      </c>
      <c r="E8" s="26" t="n">
        <v>0</v>
      </c>
      <c r="F8" s="26">
        <f>IF(D8=E8,"PASS","FAIL")</f>
        <v/>
      </c>
      <c r="G8" s="26" t="inlineStr">
        <is>
          <t>Every sub-parameter becomes exactly one column.</t>
        </is>
      </c>
    </row>
    <row r="9">
      <c r="B9" s="26" t="n">
        <v>5</v>
      </c>
      <c r="C9" s="26" t="inlineStr">
        <is>
          <t>Duplicate path ids</t>
        </is>
      </c>
      <c r="D9" s="26">
        <f>SUMPRODUCT(--(COUNTIF(Tree!$D$2:$D$170,Tree!$D$2:$D$170)&gt;1))</f>
        <v/>
      </c>
      <c r="E9" s="26" t="n">
        <v>0</v>
      </c>
      <c r="F9" s="26">
        <f>IF(D9=E9,"PASS","FAIL")</f>
        <v/>
      </c>
      <c r="G9" s="26" t="inlineStr">
        <is>
          <t>Every node has its own id.</t>
        </is>
      </c>
    </row>
    <row r="10">
      <c r="B10" s="26" t="n">
        <v>6</v>
      </c>
      <c r="C10" s="26" t="inlineStr">
        <is>
          <t>Columns tied to neither a sub-parameter nor a key</t>
        </is>
      </c>
      <c r="D10" s="26">
        <f>COUNTIFS('Schema register'!$G$2:$G$118,"",'Schema register'!$E$2:$E$118,"")</f>
        <v/>
      </c>
      <c r="E10" s="26" t="n">
        <v>0</v>
      </c>
      <c r="F10" s="26">
        <f>IF(D10=E10,"PASS","FAIL")</f>
        <v/>
      </c>
      <c r="G10" s="26" t="inlineStr">
        <is>
          <t>No column exists without a reason.</t>
        </is>
      </c>
    </row>
    <row r="11">
      <c r="B11" s="26" t="n">
        <v>7</v>
      </c>
      <c r="C11" s="26" t="inlineStr">
        <is>
          <t>Enum sub-parameters without a list</t>
        </is>
      </c>
      <c r="D11" s="26">
        <f>COUNTIF(Tree!$I$2:$I$170,"enum")-COUNTIFS(Tree!$I$2:$I$170,"enum",Tree!$L$2:$L$170,"list:*")</f>
        <v/>
      </c>
      <c r="E11" s="26" t="n">
        <v>0</v>
      </c>
      <c r="F11" s="26">
        <f>IF(D11=E11,"PASS","FAIL")</f>
        <v/>
      </c>
      <c r="G11" s="26" t="inlineStr">
        <is>
          <t>Every choice field points to an allowed-value list.</t>
        </is>
      </c>
    </row>
    <row r="12">
      <c r="B12" s="26" t="n">
        <v>8</v>
      </c>
      <c r="C12" s="26" t="inlineStr">
        <is>
          <t>Atomic sub-parameters without an L4 definition</t>
        </is>
      </c>
      <c r="D12" s="26">
        <f>COUNTIF(Tree!$J$2:$J$170,"atomic")-COUNTIFS('Schema register'!$J$2:$J$118,"*one *value*")</f>
        <v/>
      </c>
      <c r="E12" s="26" t="n">
        <v>0</v>
      </c>
      <c r="F12" s="26">
        <f>IF(D12=E12,"PASS","FAIL")</f>
        <v/>
      </c>
      <c r="G12" s="26" t="inlineStr">
        <is>
          <t>Every atomic item carries its Pico definition.</t>
        </is>
      </c>
    </row>
    <row r="13">
      <c r="B13" s="26" t="n">
        <v>9</v>
      </c>
      <c r="C13" s="26" t="inlineStr">
        <is>
          <t>Total parameters (L1 + L2 + L3)</t>
        </is>
      </c>
      <c r="D13" s="26">
        <f>Summary!B5</f>
        <v/>
      </c>
      <c r="E13" s="26" t="n">
        <v>169</v>
      </c>
      <c r="F13" s="26">
        <f>IF(D13=E13,"PASS","FAIL")</f>
        <v/>
      </c>
      <c r="G13" s="26" t="inlineStr">
        <is>
          <t>The dashboard count matches the frozen schema.</t>
        </is>
      </c>
    </row>
    <row r="14">
      <c r="B14" s="26" t="n">
        <v>10</v>
      </c>
      <c r="C14" s="26" t="inlineStr">
        <is>
          <t>Data values outside the allowed lists</t>
        </is>
      </c>
      <c r="D14" s="26">
        <f>Measures!C53</f>
        <v/>
      </c>
      <c r="E14" s="26" t="n">
        <v>0</v>
      </c>
      <c r="F14" s="26">
        <f>IF(D14=E14,"PASS","FAIL")</f>
        <v/>
      </c>
      <c r="G14" s="26" t="inlineStr">
        <is>
          <t>Every recorded value is one the schema allows, in the Feature discovery, Coverage matrix and NFR register sheets.</t>
        </is>
      </c>
    </row>
    <row r="15">
      <c r="B15" s="26" t="n">
        <v>11</v>
      </c>
      <c r="C15" s="26" t="inlineStr">
        <is>
          <t>Playbook checks passing</t>
        </is>
      </c>
      <c r="D15" s="26">
        <f>COUNTIF('Playbook map'!$I$5:$I$14,"PASS")</f>
        <v/>
      </c>
      <c r="E15" s="26" t="n">
        <v>7</v>
      </c>
      <c r="F15" s="26">
        <f>IF(D15=E15,"PASS","FAIL")</f>
        <v/>
      </c>
      <c r="G15" s="26" t="inlineStr">
        <is>
          <t>The Step 03 playbook points that a formula can test all pass.</t>
        </is>
      </c>
    </row>
    <row r="17">
      <c r="C17" s="48" t="inlineStr">
        <is>
          <t>Part A score</t>
        </is>
      </c>
      <c r="D17">
        <f>COUNTIF(F5:F15,"PASS")</f>
        <v/>
      </c>
      <c r="E17" t="n">
        <v>11</v>
      </c>
      <c r="F17" s="49">
        <f>D17&amp;" of "&amp;E17</f>
        <v/>
      </c>
    </row>
    <row r="19">
      <c r="C19" s="50" t="inlineStr">
        <is>
          <t>Part B: reviewer rating (1 to 5). Blank until a person scores it.</t>
        </is>
      </c>
    </row>
    <row r="20">
      <c r="B20" s="51" t="inlineStr">
        <is>
          <t>#</t>
        </is>
      </c>
      <c r="C20" s="51" t="inlineStr">
        <is>
          <t>Question for the reviewer</t>
        </is>
      </c>
      <c r="D20" s="51" t="inlineStr">
        <is>
          <t>Score 1-5</t>
        </is>
      </c>
      <c r="E20" s="51" t="inlineStr"/>
      <c r="F20" s="51" t="inlineStr"/>
      <c r="G20" s="51" t="inlineStr">
        <is>
          <t>Reviewer comment</t>
        </is>
      </c>
    </row>
    <row r="21" ht="32" customHeight="1">
      <c r="B21" s="26" t="n">
        <v>1</v>
      </c>
      <c r="C21" s="26" t="inlineStr">
        <is>
          <t>Could a new team member read the Tree and know what to record, without asking us?</t>
        </is>
      </c>
      <c r="D21" s="26" t="n"/>
      <c r="E21" s="26" t="n"/>
      <c r="F21" s="26" t="n"/>
      <c r="G21" s="26" t="n"/>
    </row>
    <row r="22" ht="32" customHeight="1">
      <c r="B22" s="26" t="n">
        <v>2</v>
      </c>
      <c r="C22" s="26" t="inlineStr">
        <is>
          <t>Is each definition one clear sentence, with no jargon left unexplained?</t>
        </is>
      </c>
      <c r="D22" s="26" t="n"/>
      <c r="E22" s="26" t="n"/>
      <c r="F22" s="26" t="n"/>
      <c r="G22" s="26" t="n"/>
    </row>
    <row r="23" ht="32" customHeight="1">
      <c r="B23" s="26" t="n">
        <v>3</v>
      </c>
      <c r="C23" s="26" t="inlineStr">
        <is>
          <t>Does each sub-parameter earn its place?</t>
        </is>
      </c>
      <c r="D23" s="26" t="n"/>
      <c r="E23" s="26" t="n"/>
      <c r="F23" s="26" t="n"/>
      <c r="G23" s="26" t="n"/>
    </row>
    <row r="24" ht="32" customHeight="1">
      <c r="B24" s="26" t="n">
        <v>4</v>
      </c>
      <c r="C24" s="26" t="inlineStr">
        <is>
          <t>Is anything the playbook row or the transcript asked for missing?</t>
        </is>
      </c>
      <c r="D24" s="26" t="n"/>
      <c r="E24" s="26" t="n"/>
      <c r="F24" s="26" t="n"/>
      <c r="G24" s="26" t="n"/>
    </row>
    <row r="25" ht="32" customHeight="1">
      <c r="B25" s="26" t="n">
        <v>5</v>
      </c>
      <c r="C25" s="26" t="inlineStr">
        <is>
          <t>Are the allowed-value lists complete and free of overlap?</t>
        </is>
      </c>
      <c r="D25" s="26" t="n"/>
      <c r="E25" s="26" t="n"/>
      <c r="F25" s="26" t="n"/>
      <c r="G25" s="26" t="n"/>
    </row>
    <row r="26" ht="32" customHeight="1">
      <c r="B26" s="26" t="n">
        <v>6</v>
      </c>
      <c r="C26" s="26" t="inlineStr">
        <is>
          <t>Would two different people fill the same record the same way?</t>
        </is>
      </c>
      <c r="D26" s="26" t="n"/>
      <c r="E26" s="26" t="n"/>
      <c r="F26" s="26" t="n"/>
      <c r="G26" s="26" t="n"/>
    </row>
    <row r="28">
      <c r="C28" s="48" t="inlineStr">
        <is>
          <t>Average reviewer score</t>
        </is>
      </c>
      <c r="D28">
        <f>IF(COUNT(D21:D26)=0,"not rated yet",AVERAGE(D21:D26))</f>
        <v/>
      </c>
    </row>
  </sheetData>
  <conditionalFormatting sqref="F5:F15">
    <cfRule type="cellIs" priority="1" operator="equal" dxfId="0">
      <formula>"PASS"</formula>
    </cfRule>
    <cfRule type="cellIs" priority="2" operator="equal" dxfId="1">
      <formula>"FAIL"</formula>
    </cfRule>
  </conditionalFormatting>
  <pageMargins left="0.75" right="0.75" top="1" bottom="1" header="0.5" footer="0.5"/>
</worksheet>
</file>

<file path=xl/worksheets/sheet14.xml><?xml version="1.0" encoding="utf-8"?>
<worksheet xmlns="http://schemas.openxmlformats.org/spreadsheetml/2006/main">
  <sheetPr>
    <outlinePr summaryBelow="1" summaryRight="1"/>
    <pageSetUpPr/>
  </sheetPr>
  <dimension ref="B1:E53"/>
  <sheetViews>
    <sheetView showGridLines="0" workbookViewId="0">
      <selection activeCell="A1" sqref="A1"/>
    </sheetView>
  </sheetViews>
  <sheetFormatPr baseColWidth="8" defaultRowHeight="15"/>
  <cols>
    <col width="2" customWidth="1" min="1" max="1"/>
    <col width="44" customWidth="1" min="2" max="2"/>
    <col width="12" customWidth="1" min="3" max="3"/>
    <col width="12" customWidth="1" min="4" max="4"/>
    <col width="50" customWidth="1" min="5" max="5"/>
  </cols>
  <sheetData>
    <row r="1" ht="28" customHeight="1">
      <c r="B1" s="1" t="inlineStr">
        <is>
          <t>Measures</t>
        </is>
      </c>
      <c r="C1" s="2" t="n"/>
      <c r="D1" s="2" t="n"/>
      <c r="E1" s="2" t="n"/>
    </row>
    <row r="2">
      <c r="B2" s="3" t="inlineStr">
        <is>
          <t>Counted live from the Feature discovery sheet</t>
        </is>
      </c>
    </row>
    <row r="4">
      <c r="B4" s="24" t="inlineStr">
        <is>
          <t>Measure</t>
        </is>
      </c>
      <c r="C4" s="24" t="inlineStr">
        <is>
          <t>Value</t>
        </is>
      </c>
      <c r="D4" s="24" t="inlineStr">
        <is>
          <t>Share</t>
        </is>
      </c>
      <c r="E4" s="24" t="inlineStr">
        <is>
          <t>How it is counted</t>
        </is>
      </c>
    </row>
    <row r="5">
      <c r="B5" s="52" t="inlineStr">
        <is>
          <t>Features and capabilities</t>
        </is>
      </c>
      <c r="C5" s="53">
        <f>COUNTA('Feature discovery'!$A$4:$A$179)</f>
        <v/>
      </c>
      <c r="D5" s="54" t="n"/>
      <c r="E5" s="53" t="inlineStr">
        <is>
          <t>Rows of the inventory</t>
        </is>
      </c>
    </row>
    <row r="6">
      <c r="B6" s="53" t="inlineStr">
        <is>
          <t xml:space="preserve">  Features</t>
        </is>
      </c>
      <c r="C6" s="53">
        <f>COUNTIF('Feature discovery'!$B$4:$B$179,"Feature")</f>
        <v/>
      </c>
      <c r="D6" s="54">
        <f>C6/$C$5</f>
        <v/>
      </c>
      <c r="E6" s="53" t="inlineStr">
        <is>
          <t>Level = Feature</t>
        </is>
      </c>
    </row>
    <row r="7">
      <c r="B7" s="53" t="inlineStr">
        <is>
          <t xml:space="preserve">  Capabilities</t>
        </is>
      </c>
      <c r="C7" s="53">
        <f>COUNTIF('Feature discovery'!$B$4:$B$179,"Capability")</f>
        <v/>
      </c>
      <c r="D7" s="54">
        <f>C7/$C$5</f>
        <v/>
      </c>
      <c r="E7" s="53" t="inlineStr">
        <is>
          <t>Level = Capability</t>
        </is>
      </c>
    </row>
    <row r="8">
      <c r="B8" s="52" t="inlineStr">
        <is>
          <t>MUST-HAVE</t>
        </is>
      </c>
      <c r="C8" s="53">
        <f>COUNTIF('Feature discovery'!$K$4:$K$179,"MUST-HAVE")</f>
        <v/>
      </c>
      <c r="D8" s="54">
        <f>C8/$C$5</f>
        <v/>
      </c>
      <c r="E8" s="53" t="inlineStr">
        <is>
          <t>Classification</t>
        </is>
      </c>
    </row>
    <row r="9">
      <c r="B9" s="52" t="inlineStr">
        <is>
          <t>SHOULD-HAVE</t>
        </is>
      </c>
      <c r="C9" s="53">
        <f>COUNTIF('Feature discovery'!$K$4:$K$179,"SHOULD-HAVE")</f>
        <v/>
      </c>
      <c r="D9" s="54">
        <f>C9/$C$5</f>
        <v/>
      </c>
      <c r="E9" s="53" t="inlineStr">
        <is>
          <t>Classification</t>
        </is>
      </c>
    </row>
    <row r="10">
      <c r="B10" s="52" t="inlineStr">
        <is>
          <t>DIFFERENTIATOR</t>
        </is>
      </c>
      <c r="C10" s="53">
        <f>COUNTIF('Feature discovery'!$K$4:$K$179,"DIFFERENTIATOR")</f>
        <v/>
      </c>
      <c r="D10" s="54">
        <f>C10/$C$5</f>
        <v/>
      </c>
      <c r="E10" s="53" t="inlineStr">
        <is>
          <t>Classification</t>
        </is>
      </c>
    </row>
    <row r="11">
      <c r="B11" s="52" t="inlineStr">
        <is>
          <t>Traced to a requirement</t>
        </is>
      </c>
      <c r="C11" s="53">
        <f>COUNTIF('Feature discovery'!$S$4:$S$179,"Traced*")</f>
        <v/>
      </c>
      <c r="D11" s="54">
        <f>C11/$C$5</f>
        <v/>
      </c>
      <c r="E11" s="53" t="inlineStr">
        <is>
          <t>Trace status</t>
        </is>
      </c>
    </row>
    <row r="12">
      <c r="B12" s="52" t="inlineStr">
        <is>
          <t>Flagged NEW INSIGHT</t>
        </is>
      </c>
      <c r="C12" s="53">
        <f>COUNTIF('Feature discovery'!$S$4:$S$179,"NEW INSIGHT")</f>
        <v/>
      </c>
      <c r="D12" s="54">
        <f>C12/$C$5</f>
        <v/>
      </c>
      <c r="E12" s="53" t="inlineStr">
        <is>
          <t>Trace status</t>
        </is>
      </c>
    </row>
    <row r="13">
      <c r="B13" s="52" t="inlineStr">
        <is>
          <t>Verdict: Exceeds</t>
        </is>
      </c>
      <c r="C13" s="53">
        <f>COUNTIF('Feature discovery'!$Q$4:$Q$179,"Exceeds")</f>
        <v/>
      </c>
      <c r="D13" s="54">
        <f>C13/$C$5</f>
        <v/>
      </c>
      <c r="E13" s="53" t="inlineStr">
        <is>
          <t>Verdict</t>
        </is>
      </c>
    </row>
    <row r="14">
      <c r="B14" s="52" t="inlineStr">
        <is>
          <t>Verdict: Matches</t>
        </is>
      </c>
      <c r="C14" s="53">
        <f>COUNTIF('Feature discovery'!$Q$4:$Q$179,"Matches")</f>
        <v/>
      </c>
      <c r="D14" s="54">
        <f>C14/$C$5</f>
        <v/>
      </c>
      <c r="E14" s="53" t="inlineStr">
        <is>
          <t>Verdict</t>
        </is>
      </c>
    </row>
    <row r="15">
      <c r="B15" s="52" t="inlineStr">
        <is>
          <t>Verdict: Falls short</t>
        </is>
      </c>
      <c r="C15" s="53">
        <f>COUNTIF('Feature discovery'!$Q$4:$Q$179,"Falls short")</f>
        <v/>
      </c>
      <c r="D15" s="54">
        <f>C15/$C$5</f>
        <v/>
      </c>
      <c r="E15" s="53" t="inlineStr">
        <is>
          <t>Verdict</t>
        </is>
      </c>
    </row>
    <row r="16">
      <c r="B16" s="52" t="inlineStr">
        <is>
          <t>Verdict: Not compared</t>
        </is>
      </c>
      <c r="C16" s="53">
        <f>COUNTIF('Feature discovery'!$Q$4:$Q$179,"Not compared")</f>
        <v/>
      </c>
      <c r="D16" s="54">
        <f>C16/$C$5</f>
        <v/>
      </c>
      <c r="E16" s="53" t="inlineStr">
        <is>
          <t>Verdict (own design, no competitor claim)</t>
        </is>
      </c>
    </row>
    <row r="17">
      <c r="B17" s="52" t="inlineStr">
        <is>
          <t>Built and tested</t>
        </is>
      </c>
      <c r="C17" s="53">
        <f>COUNTIF('Feature discovery'!$P$4:$P$179,"Built and tested")</f>
        <v/>
      </c>
      <c r="D17" s="54">
        <f>C17/$C$5</f>
        <v/>
      </c>
      <c r="E17" s="53" t="inlineStr">
        <is>
          <t>Our coverage</t>
        </is>
      </c>
    </row>
    <row r="18">
      <c r="B18" s="52" t="inlineStr">
        <is>
          <t>Functional requirements recorded</t>
        </is>
      </c>
      <c r="C18" s="53">
        <f>COUNTA('Requirements'!$A$4:$A$111)</f>
        <v/>
      </c>
      <c r="D18" s="54" t="n"/>
      <c r="E18" s="53" t="inlineStr">
        <is>
          <t>Rows of the Requirements sheet</t>
        </is>
      </c>
    </row>
    <row r="19">
      <c r="B19" s="52" t="inlineStr">
        <is>
          <t>Scope lines recorded</t>
        </is>
      </c>
      <c r="C19" s="53">
        <f>COUNTA('Scope lines'!$A$4:$A$22)</f>
        <v/>
      </c>
      <c r="D19" s="54" t="n"/>
      <c r="E19" s="53" t="inlineStr">
        <is>
          <t>Rows of the Scope lines sheet</t>
        </is>
      </c>
    </row>
    <row r="20">
      <c r="B20" s="52" t="inlineStr">
        <is>
          <t>NFRs recorded</t>
        </is>
      </c>
      <c r="C20" s="53">
        <f>COUNTA('NFR register'!$A$4:$A$29)</f>
        <v/>
      </c>
      <c r="D20" s="54" t="n"/>
      <c r="E20" s="53" t="inlineStr">
        <is>
          <t>Rows of the NFR register</t>
        </is>
      </c>
    </row>
    <row r="21">
      <c r="B21" s="53" t="inlineStr">
        <is>
          <t xml:space="preserve">  with a numeric target</t>
        </is>
      </c>
      <c r="C21" s="53">
        <f>COUNT('NFR register'!$I$4:$I$29)</f>
        <v/>
      </c>
      <c r="D21" s="54">
        <f>C21/$C$20</f>
        <v/>
      </c>
      <c r="E21" s="53" t="inlineStr">
        <is>
          <t>Target value filled</t>
        </is>
      </c>
    </row>
    <row r="22">
      <c r="B22" s="53" t="inlineStr">
        <is>
          <t xml:space="preserve">  built and tested</t>
        </is>
      </c>
      <c r="C22" s="53">
        <f>COUNTIF('NFR register'!$R$4:$R$29,"Built and tested")</f>
        <v/>
      </c>
      <c r="D22" s="54">
        <f>C22/$C$20</f>
        <v/>
      </c>
      <c r="E22" s="53" t="inlineStr">
        <is>
          <t>Our status</t>
        </is>
      </c>
    </row>
    <row r="23">
      <c r="B23" s="53" t="inlineStr">
        <is>
          <t xml:space="preserve">  planned</t>
        </is>
      </c>
      <c r="C23" s="53">
        <f>COUNTIF('NFR register'!$R$4:$R$29,"Planned")</f>
        <v/>
      </c>
      <c r="D23" s="54">
        <f>C23/$C$20</f>
        <v/>
      </c>
      <c r="E23" s="53" t="inlineStr">
        <is>
          <t>Our status</t>
        </is>
      </c>
    </row>
    <row r="24">
      <c r="B24" s="53" t="inlineStr">
        <is>
          <t xml:space="preserve">  proposed (not yet approved)</t>
        </is>
      </c>
      <c r="C24" s="53">
        <f>COUNTIF('NFR register'!$R$4:$R$29,"Proposed")</f>
        <v/>
      </c>
      <c r="D24" s="54">
        <f>C24/$C$20</f>
        <v/>
      </c>
      <c r="E24" s="53" t="inlineStr">
        <is>
          <t>Our status</t>
        </is>
      </c>
    </row>
    <row r="26">
      <c r="B26" s="23" t="inlineStr">
        <is>
          <t>Data against the schema: values that are not in the allowed list (needs 0)</t>
        </is>
      </c>
    </row>
    <row r="27">
      <c r="B27" s="24" t="inlineStr">
        <is>
          <t>Sheet and column</t>
        </is>
      </c>
      <c r="C27" s="24" t="inlineStr">
        <is>
          <t>Not in list</t>
        </is>
      </c>
      <c r="D27" s="24" t="inlineStr">
        <is>
          <t>Rows checked</t>
        </is>
      </c>
      <c r="E27" s="24" t="inlineStr">
        <is>
          <t>Allowed list</t>
        </is>
      </c>
    </row>
    <row r="28">
      <c r="B28" s="53" t="inlineStr">
        <is>
          <t>Feature discovery: Level</t>
        </is>
      </c>
      <c r="C28" s="53">
        <f>COUNTA('Feature discovery'!$B$4:$B$179)-SUMPRODUCT(COUNTIF('Feature discovery'!$B$4:$B$179,'Allowed values'!$B$28:$B$29))</f>
        <v/>
      </c>
      <c r="D28" s="53">
        <f>COUNTA('Feature discovery'!$B$4:$B$179)</f>
        <v/>
      </c>
      <c r="E28" s="53" t="inlineStr">
        <is>
          <t>FeatureLevel</t>
        </is>
      </c>
    </row>
    <row r="29">
      <c r="B29" s="53" t="inlineStr">
        <is>
          <t>Feature discovery: Category</t>
        </is>
      </c>
      <c r="C29" s="53">
        <f>COUNTA('Feature discovery'!$F$4:$F$179)-SUMPRODUCT(COUNTIF('Feature discovery'!$F$4:$F$179,'Allowed values'!$B$30:$B$43))</f>
        <v/>
      </c>
      <c r="D29" s="53">
        <f>COUNTA('Feature discovery'!$F$4:$F$179)</f>
        <v/>
      </c>
      <c r="E29" s="53" t="inlineStr">
        <is>
          <t>Category</t>
        </is>
      </c>
    </row>
    <row r="30">
      <c r="B30" s="53" t="inlineStr">
        <is>
          <t>Feature discovery: Persona</t>
        </is>
      </c>
      <c r="C30" s="53">
        <f>COUNTA('Feature discovery'!$G$4:$G$179)-SUMPRODUCT(COUNTIF('Feature discovery'!$G$4:$G$179,'Allowed values'!$B$44:$B$55))</f>
        <v/>
      </c>
      <c r="D30" s="53">
        <f>COUNTA('Feature discovery'!$G$4:$G$179)</f>
        <v/>
      </c>
      <c r="E30" s="53" t="inlineStr">
        <is>
          <t>Persona</t>
        </is>
      </c>
    </row>
    <row r="31">
      <c r="B31" s="53" t="inlineStr">
        <is>
          <t>Feature discovery: Source type</t>
        </is>
      </c>
      <c r="C31" s="53">
        <f>COUNTA('Feature discovery'!$H$4:$H$179)-SUMPRODUCT(COUNTIF('Feature discovery'!$H$4:$H$179,'Allowed values'!$B$59:$B$64))</f>
        <v/>
      </c>
      <c r="D31" s="53">
        <f>COUNTA('Feature discovery'!$H$4:$H$179)</f>
        <v/>
      </c>
      <c r="E31" s="53" t="inlineStr">
        <is>
          <t>SourceType</t>
        </is>
      </c>
    </row>
    <row r="32">
      <c r="B32" s="53" t="inlineStr">
        <is>
          <t>Feature discovery: Scope</t>
        </is>
      </c>
      <c r="C32" s="53">
        <f>COUNTA('Feature discovery'!$J$4:$J$179)-SUMPRODUCT(COUNTIF('Feature discovery'!$J$4:$J$179,'Allowed values'!$B$56:$B$58))</f>
        <v/>
      </c>
      <c r="D32" s="53">
        <f>COUNTA('Feature discovery'!$J$4:$J$179)</f>
        <v/>
      </c>
      <c r="E32" s="53" t="inlineStr">
        <is>
          <t>ComparisonScope</t>
        </is>
      </c>
    </row>
    <row r="33">
      <c r="B33" s="53" t="inlineStr">
        <is>
          <t>Feature discovery: Classification</t>
        </is>
      </c>
      <c r="C33" s="53">
        <f>COUNTA('Feature discovery'!$K$4:$K$179)-SUMPRODUCT(COUNTIF('Feature discovery'!$K$4:$K$179,'Allowed values'!$B$68:$B$70))</f>
        <v/>
      </c>
      <c r="D33" s="53">
        <f>COUNTA('Feature discovery'!$K$4:$K$179)</f>
        <v/>
      </c>
      <c r="E33" s="53" t="inlineStr">
        <is>
          <t>Class</t>
        </is>
      </c>
    </row>
    <row r="34">
      <c r="B34" s="53" t="inlineStr">
        <is>
          <t>Feature discovery: Class basis</t>
        </is>
      </c>
      <c r="C34" s="53">
        <f>COUNTA('Feature discovery'!$L$4:$L$179)-SUMPRODUCT(COUNTIF('Feature discovery'!$L$4:$L$179,'Allowed values'!$B$71:$B$77))</f>
        <v/>
      </c>
      <c r="D34" s="53">
        <f>COUNTA('Feature discovery'!$L$4:$L$179)</f>
        <v/>
      </c>
      <c r="E34" s="53" t="inlineStr">
        <is>
          <t>ClassBasis</t>
        </is>
      </c>
    </row>
    <row r="35">
      <c r="B35" s="53" t="inlineStr">
        <is>
          <t>Feature discovery: Confidence</t>
        </is>
      </c>
      <c r="C35" s="53">
        <f>COUNTA('Feature discovery'!$N$4:$N$179)-SUMPRODUCT(COUNTIF('Feature discovery'!$N$4:$N$179,'Allowed values'!$B$78:$B$80))</f>
        <v/>
      </c>
      <c r="D35" s="53">
        <f>COUNTA('Feature discovery'!$N$4:$N$179)</f>
        <v/>
      </c>
      <c r="E35" s="53" t="inlineStr">
        <is>
          <t>Confidence</t>
        </is>
      </c>
    </row>
    <row r="36">
      <c r="B36" s="53" t="inlineStr">
        <is>
          <t>Feature discovery: Evidence status</t>
        </is>
      </c>
      <c r="C36" s="53">
        <f>COUNTA('Feature discovery'!$O$4:$O$179)-SUMPRODUCT(COUNTIF('Feature discovery'!$O$4:$O$179,'Allowed values'!$B$21:$B$27))</f>
        <v/>
      </c>
      <c r="D36" s="53">
        <f>COUNTA('Feature discovery'!$O$4:$O$179)</f>
        <v/>
      </c>
      <c r="E36" s="53" t="inlineStr">
        <is>
          <t>EvidenceStatus</t>
        </is>
      </c>
    </row>
    <row r="37">
      <c r="B37" s="53" t="inlineStr">
        <is>
          <t>Feature discovery: Our coverage</t>
        </is>
      </c>
      <c r="C37" s="53">
        <f>COUNTA('Feature discovery'!$P$4:$P$179)-SUMPRODUCT(COUNTIF('Feature discovery'!$P$4:$P$179,'Allowed values'!$B$90:$B$94))</f>
        <v/>
      </c>
      <c r="D37" s="53">
        <f>COUNTA('Feature discovery'!$P$4:$P$179)</f>
        <v/>
      </c>
      <c r="E37" s="53" t="inlineStr">
        <is>
          <t>OurCoverage</t>
        </is>
      </c>
    </row>
    <row r="38">
      <c r="B38" s="53" t="inlineStr">
        <is>
          <t>Feature discovery: Verdict</t>
        </is>
      </c>
      <c r="C38" s="53">
        <f>COUNTA('Feature discovery'!$Q$4:$Q$179)-SUMPRODUCT(COUNTIF('Feature discovery'!$Q$4:$Q$179,'Allowed values'!$B$95:$B$99))</f>
        <v/>
      </c>
      <c r="D38" s="53">
        <f>COUNTA('Feature discovery'!$Q$4:$Q$179)</f>
        <v/>
      </c>
      <c r="E38" s="53" t="inlineStr">
        <is>
          <t>Verdict</t>
        </is>
      </c>
    </row>
    <row r="39">
      <c r="B39" s="53" t="inlineStr">
        <is>
          <t>Feature discovery: Trace status</t>
        </is>
      </c>
      <c r="C39" s="53">
        <f>COUNTA('Feature discovery'!$S$4:$S$179)-SUMPRODUCT(COUNTIF('Feature discovery'!$S$4:$S$179,'Allowed values'!$B$102:$B$104))</f>
        <v/>
      </c>
      <c r="D39" s="53">
        <f>COUNTA('Feature discovery'!$S$4:$S$179)</f>
        <v/>
      </c>
      <c r="E39" s="53" t="inlineStr">
        <is>
          <t>TraceState</t>
        </is>
      </c>
    </row>
    <row r="40">
      <c r="B40" s="53" t="inlineStr">
        <is>
          <t>Coverage matrix: the four competitor columns</t>
        </is>
      </c>
      <c r="C40" s="53">
        <f>COUNTA('Coverage matrix'!$E$4:$H$126)-SUMPRODUCT(COUNTIF('Coverage matrix'!$E$4:$H$126,'Allowed values'!$B$81:$B$84))</f>
        <v/>
      </c>
      <c r="D40" s="53">
        <f>COUNTA('Coverage matrix'!$E$4:$H$126)</f>
        <v/>
      </c>
      <c r="E40" s="53" t="inlineStr">
        <is>
          <t>CellValue</t>
        </is>
      </c>
    </row>
    <row r="41">
      <c r="B41" s="53" t="inlineStr">
        <is>
          <t>NFR register: Category</t>
        </is>
      </c>
      <c r="C41" s="53">
        <f>COUNTA('NFR register'!$C$4:$C$29)-SUMPRODUCT(COUNTIF('NFR register'!$C$4:$C$29,'Allowed values'!$B$138:$B$155))</f>
        <v/>
      </c>
      <c r="D41" s="53">
        <f>COUNTA('NFR register'!$C$4:$C$29)</f>
        <v/>
      </c>
      <c r="E41" s="53" t="inlineStr">
        <is>
          <t>NfrCategory</t>
        </is>
      </c>
    </row>
    <row r="42">
      <c r="B42" s="53" t="inlineStr">
        <is>
          <t>NFR register: Comparator</t>
        </is>
      </c>
      <c r="C42" s="53">
        <f>COUNTA('NFR register'!$H$4:$H$29)-SUMPRODUCT(COUNTIF('NFR register'!$H$4:$H$29,'Allowed values'!$B$156:$B$158))</f>
        <v/>
      </c>
      <c r="D42" s="53">
        <f>COUNTA('NFR register'!$H$4:$H$29)</f>
        <v/>
      </c>
      <c r="E42" s="53" t="inlineStr">
        <is>
          <t>Comparator</t>
        </is>
      </c>
    </row>
    <row r="43">
      <c r="B43" s="53" t="inlineStr">
        <is>
          <t>NFR register: Target status</t>
        </is>
      </c>
      <c r="C43" s="53">
        <f>COUNTA('NFR register'!$K$4:$K$29)-SUMPRODUCT(COUNTIF('NFR register'!$K$4:$K$29,'Allowed values'!$B$159:$B$160))</f>
        <v/>
      </c>
      <c r="D43" s="53">
        <f>COUNTA('NFR register'!$K$4:$K$29)</f>
        <v/>
      </c>
      <c r="E43" s="53" t="inlineStr">
        <is>
          <t>TargetStatus</t>
        </is>
      </c>
    </row>
    <row r="44">
      <c r="B44" s="53" t="inlineStr">
        <is>
          <t>NFR register: Measured by</t>
        </is>
      </c>
      <c r="C44" s="53">
        <f>COUNTA('NFR register'!$M$4:$M$29)-SUMPRODUCT(COUNTIF('NFR register'!$M$4:$M$29,'Allowed values'!$B$161:$B$166))</f>
        <v/>
      </c>
      <c r="D44" s="53">
        <f>COUNTA('NFR register'!$M$4:$M$29)</f>
        <v/>
      </c>
      <c r="E44" s="53" t="inlineStr">
        <is>
          <t>MeasuredBy</t>
        </is>
      </c>
    </row>
    <row r="45">
      <c r="B45" s="53" t="inlineStr">
        <is>
          <t>NFR register: Derived from</t>
        </is>
      </c>
      <c r="C45" s="53">
        <f>COUNTA('NFR register'!$O$4:$O$29)-SUMPRODUCT(COUNTIF('NFR register'!$O$4:$O$29,'Allowed values'!$B$167:$B$171))</f>
        <v/>
      </c>
      <c r="D45" s="53">
        <f>COUNTA('NFR register'!$O$4:$O$29)</f>
        <v/>
      </c>
      <c r="E45" s="53" t="inlineStr">
        <is>
          <t>DerivedFrom</t>
        </is>
      </c>
    </row>
    <row r="46">
      <c r="B46" s="53" t="inlineStr">
        <is>
          <t>NFR register: Our status</t>
        </is>
      </c>
      <c r="C46" s="53">
        <f>COUNTA('NFR register'!$R$4:$R$29)-SUMPRODUCT(COUNTIF('NFR register'!$R$4:$R$29,'Allowed values'!$B$172:$B$177))</f>
        <v/>
      </c>
      <c r="D46" s="53">
        <f>COUNTA('NFR register'!$R$4:$R$29)</f>
        <v/>
      </c>
      <c r="E46" s="53" t="inlineStr">
        <is>
          <t>NfrStatus</t>
        </is>
      </c>
    </row>
    <row r="47">
      <c r="B47" s="53" t="inlineStr">
        <is>
          <t>Requirements: Actor</t>
        </is>
      </c>
      <c r="C47" s="53">
        <f>COUNTA('Requirements'!$G$4:$G$111)-SUMPRODUCT(COUNTIF('Requirements'!$G$4:$G$111,'Allowed values'!$B$44:$B$55))</f>
        <v/>
      </c>
      <c r="D47" s="53">
        <f>COUNTA('Requirements'!$G$4:$G$111)</f>
        <v/>
      </c>
      <c r="E47" s="53" t="inlineStr">
        <is>
          <t>Persona</t>
        </is>
      </c>
    </row>
    <row r="48">
      <c r="B48" s="53" t="inlineStr">
        <is>
          <t>Requirements: Priority</t>
        </is>
      </c>
      <c r="C48" s="53">
        <f>COUNTA('Requirements'!$H$4:$H$111)-SUMPRODUCT(COUNTIF('Requirements'!$H$4:$H$111,'Allowed values'!$B$68:$B$70))</f>
        <v/>
      </c>
      <c r="D48" s="53">
        <f>COUNTA('Requirements'!$H$4:$H$111)</f>
        <v/>
      </c>
      <c r="E48" s="53" t="inlineStr">
        <is>
          <t>Class</t>
        </is>
      </c>
    </row>
    <row r="49">
      <c r="B49" s="53" t="inlineStr">
        <is>
          <t>Requirements: Source type</t>
        </is>
      </c>
      <c r="C49" s="53">
        <f>COUNTA('Requirements'!$E$4:$E$111)-SUMPRODUCT(COUNTIF('Requirements'!$E$4:$E$111,'Allowed values'!$B$178:$B$182))</f>
        <v/>
      </c>
      <c r="D49" s="53">
        <f>COUNTA('Requirements'!$E$4:$E$111)</f>
        <v/>
      </c>
      <c r="E49" s="53" t="inlineStr">
        <is>
          <t>ReqSource</t>
        </is>
      </c>
    </row>
    <row r="50">
      <c r="B50" s="53" t="inlineStr">
        <is>
          <t>Requirements: Our status</t>
        </is>
      </c>
      <c r="C50" s="53">
        <f>COUNTA('Requirements'!$K$4:$K$111)-SUMPRODUCT(COUNTIF('Requirements'!$K$4:$K$111,'Allowed values'!$B$183:$B$187))</f>
        <v/>
      </c>
      <c r="D50" s="53">
        <f>COUNTA('Requirements'!$K$4:$K$111)</f>
        <v/>
      </c>
      <c r="E50" s="53" t="inlineStr">
        <is>
          <t>ReqStatus</t>
        </is>
      </c>
    </row>
    <row r="51">
      <c r="B51" s="53" t="inlineStr">
        <is>
          <t>Requirements: Priority basis</t>
        </is>
      </c>
      <c r="C51" s="53">
        <f>COUNTA('Requirements'!$I$4:$I$111)-SUMPRODUCT(COUNTIF('Requirements'!$I$4:$I$111,'Allowed values'!$B$193:$B$195))</f>
        <v/>
      </c>
      <c r="D51" s="53">
        <f>COUNTA('Requirements'!$I$4:$I$111)</f>
        <v/>
      </c>
      <c r="E51" s="53" t="inlineStr">
        <is>
          <t>PriorityBasis</t>
        </is>
      </c>
    </row>
    <row r="52">
      <c r="B52" s="53" t="inlineStr">
        <is>
          <t>Scope lines: Line type</t>
        </is>
      </c>
      <c r="C52" s="53">
        <f>COUNTA('Scope lines'!$C$4:$C$22)-SUMPRODUCT(COUNTIF('Scope lines'!$C$4:$C$22,'Allowed values'!$B$188:$B$192))</f>
        <v/>
      </c>
      <c r="D52" s="53">
        <f>COUNTA('Scope lines'!$C$4:$C$22)</f>
        <v/>
      </c>
      <c r="E52" s="53" t="inlineStr">
        <is>
          <t>LineType</t>
        </is>
      </c>
    </row>
    <row r="53">
      <c r="B53" s="48" t="inlineStr">
        <is>
          <t>Total not in list</t>
        </is>
      </c>
      <c r="C53" s="48">
        <f>SUM(C28:C52)</f>
        <v/>
      </c>
    </row>
  </sheetData>
  <conditionalFormatting sqref="C28:C53">
    <cfRule type="cellIs" priority="1" operator="greaterThan" dxfId="1">
      <formula>0</formula>
    </cfRule>
    <cfRule type="cellIs" priority="2" operator="equal" dxfId="0">
      <formula>0</formula>
    </cfRule>
  </conditionalFormatting>
  <pageMargins left="0.75" right="0.75" top="1" bottom="1" header="0.5" footer="0.5"/>
</worksheet>
</file>

<file path=xl/worksheets/sheet15.xml><?xml version="1.0" encoding="utf-8"?>
<worksheet xmlns="http://schemas.openxmlformats.org/spreadsheetml/2006/main">
  <sheetPr>
    <outlinePr summaryBelow="1" summaryRight="1"/>
    <pageSetUpPr/>
  </sheetPr>
  <dimension ref="B1:E15"/>
  <sheetViews>
    <sheetView showGridLines="0" workbookViewId="0">
      <selection activeCell="A1" sqref="A1"/>
    </sheetView>
  </sheetViews>
  <sheetFormatPr baseColWidth="8" defaultRowHeight="15"/>
  <cols>
    <col width="2" customWidth="1" min="1" max="1"/>
    <col width="6" customWidth="1" min="2" max="2"/>
    <col width="22" customWidth="1" min="3" max="3"/>
    <col width="70" customWidth="1" min="4" max="4"/>
    <col width="34" customWidth="1" min="5" max="5"/>
  </cols>
  <sheetData>
    <row r="1" ht="28" customHeight="1">
      <c r="B1" s="1" t="inlineStr">
        <is>
          <t>Discover log</t>
        </is>
      </c>
      <c r="C1" s="2" t="n"/>
      <c r="D1" s="2" t="n"/>
      <c r="E1" s="2" t="n"/>
    </row>
    <row r="2">
      <c r="B2" s="3" t="inlineStr">
        <is>
          <t>Discover, define, generate, validate, refine: what was done, in order</t>
        </is>
      </c>
    </row>
    <row r="4">
      <c r="B4" s="24" t="inlineStr">
        <is>
          <t>Round</t>
        </is>
      </c>
      <c r="C4" s="24" t="inlineStr">
        <is>
          <t>Step</t>
        </is>
      </c>
      <c r="D4" s="24" t="inlineStr">
        <is>
          <t>What was done</t>
        </is>
      </c>
      <c r="E4" s="24" t="inlineStr">
        <is>
          <t>Result</t>
        </is>
      </c>
    </row>
    <row r="5" ht="40" customHeight="1">
      <c r="B5" s="40" t="n">
        <v>1</v>
      </c>
      <c r="C5" s="40" t="inlineStr">
        <is>
          <t>Discover</t>
        </is>
      </c>
      <c r="D5" s="40" t="inlineStr">
        <is>
          <t>Read Subramanian S's transcript and the playbook: define the output first, question every parameter, two views consolidated.</t>
        </is>
      </c>
      <c r="E5" s="40" t="inlineStr">
        <is>
          <t>Brief written</t>
        </is>
      </c>
    </row>
    <row r="6" ht="40" customHeight="1">
      <c r="B6" s="40" t="n">
        <v>1</v>
      </c>
      <c r="C6" s="40" t="inlineStr">
        <is>
          <t>Define</t>
        </is>
      </c>
      <c r="D6" s="40" t="inlineStr">
        <is>
          <t>Two independent designers each drew the schema from the brief.</t>
        </is>
      </c>
      <c r="E6" s="40" t="inlineStr">
        <is>
          <t>Two full drafts</t>
        </is>
      </c>
    </row>
    <row r="7" ht="40" customHeight="1">
      <c r="B7" s="40" t="n">
        <v>1</v>
      </c>
      <c r="C7" s="40" t="inlineStr">
        <is>
          <t>Generate</t>
        </is>
      </c>
      <c r="D7" s="40" t="inlineStr">
        <is>
          <t>Consolidated the two views into one schema and froze it.</t>
        </is>
      </c>
      <c r="E7" s="40" t="inlineStr">
        <is>
          <t>204 parameters, 5 levels (v1.0)</t>
        </is>
      </c>
    </row>
    <row r="8" ht="40" customHeight="1">
      <c r="B8" s="40" t="n">
        <v>1</v>
      </c>
      <c r="C8" s="40" t="inlineStr">
        <is>
          <t>Validate</t>
        </is>
      </c>
      <c r="D8" s="40" t="inlineStr">
        <is>
          <t>Checked every column of the existing feature data against the schema.</t>
        </is>
      </c>
      <c r="E8" s="40" t="inlineStr">
        <is>
          <t>All 29 data columns map</t>
        </is>
      </c>
    </row>
    <row r="9" ht="40" customHeight="1">
      <c r="B9" s="40" t="n">
        <v>2</v>
      </c>
      <c r="C9" s="40" t="inlineStr">
        <is>
          <t>Refine</t>
        </is>
      </c>
      <c r="D9" s="40" t="inlineStr">
        <is>
          <t>Cut to three levels, no extra complexity, with parameter names and table columns shown.</t>
        </is>
      </c>
      <c r="E9" s="40" t="inlineStr">
        <is>
          <t>Schema v1.1</t>
        </is>
      </c>
    </row>
    <row r="10" ht="40" customHeight="1">
      <c r="B10" s="40" t="n">
        <v>3</v>
      </c>
      <c r="C10" s="40" t="inlineStr">
        <is>
          <t>Refine</t>
        </is>
      </c>
      <c r="D10" s="40" t="inlineStr">
        <is>
          <t>Rebuilt in the Business Workflow Analysis dashboard layout and checked against the playbook row for Step 03; section names moved to the playbook's words; Stage 1 steps and a playbook map added.</t>
        </is>
      </c>
      <c r="E10" s="40" t="inlineStr">
        <is>
          <t>Schema v1.2</t>
        </is>
      </c>
    </row>
    <row r="11" ht="40" customHeight="1">
      <c r="B11" s="40" t="n">
        <v>6</v>
      </c>
      <c r="C11" s="40" t="inlineStr">
        <is>
          <t>Add</t>
        </is>
      </c>
      <c r="D11" s="40" t="inlineStr">
        <is>
          <t>Added Step 01 Requirement Analysis Docket as its own group: sections 14 to 18, tables requirement and scope_line, 108 functional requirements and the scope lines that exist so far. Source is Not recorded for every requirement and goals, in-scope lines and assumptions are missing: both need the original brief.</t>
        </is>
      </c>
      <c r="E11" s="40" t="inlineStr">
        <is>
          <t>Schema v1.4</t>
        </is>
      </c>
    </row>
    <row r="12" ht="40" customHeight="1">
      <c r="B12" s="40" t="n">
        <v>5</v>
      </c>
      <c r="C12" s="40" t="inlineStr">
        <is>
          <t>Add</t>
        </is>
      </c>
      <c r="D12" s="40" t="inlineStr">
        <is>
          <t>Proposed NFR-21 (Compliance, DPDP Act 2023) and NFR-22 (Accessibility) for the two quality areas the playbook names and no NFR covers; marked Proposed and left out of the Step 04 checks. Added dropdowns on the output sheets, highlights for missing targets, and live status text on the Summary.</t>
        </is>
      </c>
      <c r="E12" s="40" t="inlineStr">
        <is>
          <t>Needs team approval</t>
        </is>
      </c>
    </row>
    <row r="13" ht="40" customHeight="1">
      <c r="B13" s="40" t="n">
        <v>4</v>
      </c>
      <c r="C13" s="40" t="inlineStr">
        <is>
          <t>Validate</t>
        </is>
      </c>
      <c r="D13" s="40" t="inlineStr">
        <is>
          <t>Checked every recorded value against the allowed lists. Five columns of the feature data used wording outside the lists (for example 'Traced to requirement' for 'Traced'). Normalised them to the list values, added five list values the real data needed (3 evidence kinds, 2 class bases), and kept the original wording in the last column of the Feature discovery sheet. The Measures sheet now counts any value outside a list.</t>
        </is>
      </c>
      <c r="E13" s="40" t="inlineStr">
        <is>
          <t>0 values outside the lists</t>
        </is>
      </c>
    </row>
    <row r="14" ht="40" customHeight="1">
      <c r="B14" s="40" t="n">
        <v>3</v>
      </c>
      <c r="C14" s="40" t="inlineStr">
        <is>
          <t>Add</t>
        </is>
      </c>
      <c r="D14" s="40" t="inlineStr">
        <is>
          <t>Added Step 04 NFR Discovery: five sections, 18 sub-parameters in one table (19 columns with the study link), an NFR register built from the 20 NFRs in the requirements workbook, and a Step 04 playbook map.</t>
        </is>
      </c>
      <c r="E14" s="40" t="inlineStr">
        <is>
          <t>Schema v1.3 (this workbook)</t>
        </is>
      </c>
    </row>
    <row r="15" ht="40" customHeight="1">
      <c r="B15" s="40" t="n">
        <v>3</v>
      </c>
      <c r="C15" s="40" t="inlineStr">
        <is>
          <t>Open</t>
        </is>
      </c>
      <c r="D15" s="40" t="inlineStr">
        <is>
          <t>A person rates the scorecard (Part B); verify the 22 of 53 register rows still marked Known; re-key the output data to the 7 tables.</t>
        </is>
      </c>
      <c r="E15" s="40" t="inlineStr">
        <is>
          <t>Pending: the team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2026-10-22T07:14:35Z</dcterms:created>
  <dcterms:modified xmlns:dcterms="http://purl.org/dc/terms/" xmlns:xsi="http://www.w3.org/2001/XMLSchema-instance" xsi:type="dcterms:W3CDTF">2026-10-22T07:14:36Z</dcterms:modified>
</cp:coreProperties>
</file>